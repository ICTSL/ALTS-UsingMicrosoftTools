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lcim\Documents\"/>
    </mc:Choice>
  </mc:AlternateContent>
  <xr:revisionPtr revIDLastSave="0" documentId="8_{C57186F7-135F-4CF5-B77A-BE828BBFE0F8}" xr6:coauthVersionLast="47" xr6:coauthVersionMax="47" xr10:uidLastSave="{00000000-0000-0000-0000-000000000000}"/>
  <bookViews>
    <workbookView xWindow="-110" yWindow="-110" windowWidth="19420" windowHeight="11020" activeTab="1" xr2:uid="{C99A092A-B441-48D6-AE9F-9C74564E313B}"/>
  </bookViews>
  <sheets>
    <sheet name="ALTS_SINGLE_SHEET" sheetId="4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4" l="1"/>
  <c r="V2" i="4" s="1"/>
  <c r="W3" i="4"/>
  <c r="V3" i="4" s="1"/>
  <c r="W4" i="4"/>
  <c r="V4" i="4" s="1"/>
  <c r="W5" i="4"/>
  <c r="V5" i="4" s="1"/>
  <c r="W6" i="4"/>
  <c r="V6" i="4" s="1"/>
  <c r="G8" i="4"/>
  <c r="H8" i="4"/>
  <c r="I8" i="4"/>
  <c r="J8" i="4"/>
  <c r="G7" i="4"/>
  <c r="H7" i="4"/>
  <c r="I7" i="4"/>
  <c r="J7" i="4"/>
  <c r="G6" i="4"/>
  <c r="G5" i="4"/>
  <c r="G4" i="4"/>
  <c r="J3" i="4"/>
  <c r="I3" i="4"/>
  <c r="H3" i="4"/>
  <c r="G3" i="4"/>
  <c r="G2" i="4"/>
  <c r="J2" i="4" l="1"/>
  <c r="I2" i="4"/>
  <c r="H2" i="4"/>
  <c r="J4" i="4"/>
  <c r="I4" i="4"/>
  <c r="H4" i="4"/>
  <c r="J5" i="4"/>
  <c r="I5" i="4"/>
  <c r="H5" i="4"/>
  <c r="J6" i="4"/>
  <c r="I6" i="4"/>
  <c r="H6" i="4"/>
</calcChain>
</file>

<file path=xl/sharedStrings.xml><?xml version="1.0" encoding="utf-8"?>
<sst xmlns="http://schemas.openxmlformats.org/spreadsheetml/2006/main" count="77" uniqueCount="50">
  <si>
    <t>Client</t>
  </si>
  <si>
    <t>Service</t>
  </si>
  <si>
    <t>Cost</t>
  </si>
  <si>
    <t>Billing</t>
  </si>
  <si>
    <t>LastPaid</t>
  </si>
  <si>
    <t>ActiveStatus</t>
  </si>
  <si>
    <t>NextRenewal</t>
  </si>
  <si>
    <t>Alert</t>
  </si>
  <si>
    <t>Remarks</t>
  </si>
  <si>
    <t>EmailDeterminant</t>
  </si>
  <si>
    <t>QTY</t>
  </si>
  <si>
    <t>Discount</t>
  </si>
  <si>
    <t>Emails</t>
  </si>
  <si>
    <t>In_copy</t>
  </si>
  <si>
    <t>AddressLine1</t>
  </si>
  <si>
    <t>AddressLine2</t>
  </si>
  <si>
    <t>AddressLine3</t>
  </si>
  <si>
    <t>Bill_No</t>
  </si>
  <si>
    <t>Invoice_No</t>
  </si>
  <si>
    <t>Date</t>
  </si>
  <si>
    <t>FDL</t>
  </si>
  <si>
    <t>M365 Subscription</t>
  </si>
  <si>
    <t>Annually</t>
  </si>
  <si>
    <t>Yes</t>
  </si>
  <si>
    <t>ictsolutionsforeveryone@gmail.com</t>
  </si>
  <si>
    <t>lcim1104@gmail.com</t>
  </si>
  <si>
    <t>123 Aba Owerri Road</t>
  </si>
  <si>
    <t>Aba, Abia State</t>
  </si>
  <si>
    <t>GTL</t>
  </si>
  <si>
    <t>BitDefender Subscription</t>
  </si>
  <si>
    <t>Monthly</t>
  </si>
  <si>
    <t>No</t>
  </si>
  <si>
    <t>l.cim@outlook.com</t>
  </si>
  <si>
    <t>leonard.mbibi@gregobyte.com</t>
  </si>
  <si>
    <t>76 Ndiukwu Street</t>
  </si>
  <si>
    <t>By NHS Junction, Near PADESCO, Arondizuogu</t>
  </si>
  <si>
    <t>Imo State</t>
  </si>
  <si>
    <t>Internet Service Subscription</t>
  </si>
  <si>
    <t>JulJon</t>
  </si>
  <si>
    <t>lcim@outlook.com</t>
  </si>
  <si>
    <t>GPPS</t>
  </si>
  <si>
    <t>IT Support Contract</t>
  </si>
  <si>
    <t>Quarterly</t>
  </si>
  <si>
    <t>5 Amichi Crescent, Near ZOE Ministries,</t>
  </si>
  <si>
    <t>Off ESBS Bust Stop</t>
  </si>
  <si>
    <t>Ind. Layout, Enugu</t>
  </si>
  <si>
    <t>SOBAZ</t>
  </si>
  <si>
    <t>102 Oderigwugwu Street, Near Nkwo Achi,</t>
  </si>
  <si>
    <t>Ndiakeme, Arondizuogu</t>
  </si>
  <si>
    <t>JULJON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</si>
</sst>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dd\-mmm\-yy"/>
    <numFmt numFmtId="169" formatCode="dd\-mmm\-yyyy"/>
    <numFmt numFmtId="171" formatCode="_(* #,##0_);_(* \(#,##0\);_(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2"/>
      <color theme="0"/>
      <name val="Aptos Narrow"/>
      <family val="2"/>
      <scheme val="minor"/>
    </font>
    <font>
      <sz val="11"/>
      <color rgb="FF242424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 vertical="center"/>
    </xf>
    <xf numFmtId="1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1" xfId="2" applyBorder="1" applyAlignment="1">
      <alignment vertical="center"/>
    </xf>
    <xf numFmtId="0" fontId="0" fillId="0" borderId="1" xfId="0" applyBorder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2" fillId="2" borderId="1" xfId="2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0" fillId="0" borderId="0" xfId="0" applyNumberFormat="1" applyAlignment="1">
      <alignment vertical="center"/>
    </xf>
    <xf numFmtId="169" fontId="0" fillId="4" borderId="2" xfId="0" applyNumberFormat="1" applyFill="1" applyBorder="1" applyAlignment="1">
      <alignment vertical="center" wrapText="1"/>
    </xf>
    <xf numFmtId="169" fontId="0" fillId="5" borderId="2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1" fontId="4" fillId="0" borderId="0" xfId="0" applyNumberFormat="1" applyFont="1" applyAlignment="1">
      <alignment vertical="center"/>
    </xf>
    <xf numFmtId="171" fontId="0" fillId="0" borderId="0" xfId="0" applyNumberFormat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family val="2"/>
        <charset val="1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left" vertical="center" textRotation="0" wrapText="1" indent="0" justifyLastLine="0" shrinkToFit="0" readingOrder="0"/>
    </dxf>
    <dxf>
      <numFmt numFmtId="171" formatCode="_(* #,##0_);_(* \(#,##0\);_(* &quot;-&quot;??_);_(@_)"/>
      <alignment vertical="center"/>
    </dxf>
    <dxf>
      <numFmt numFmtId="1" formatCode="0"/>
      <alignment horizontal="center" vertical="center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dd\-mmm\-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65" formatCode="_-* #,##0_-;\-* #,##0_-;_-* &quot;-&quot;??_-;_-@_-"/>
      <alignment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FFFFFF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13</xdr:row>
      <xdr:rowOff>123825</xdr:rowOff>
    </xdr:from>
    <xdr:to>
      <xdr:col>13</xdr:col>
      <xdr:colOff>247650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5BF2C-269E-402E-8B08-AB2009D6A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4305300"/>
          <a:ext cx="1647825" cy="704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8493A7-AC53-4617-A433-275989B38219}" name="ServiceTable" displayName="ServiceTable" ref="A1:L8" totalsRowShown="0" headerRowDxfId="35">
  <autoFilter ref="A1:L8" xr:uid="{3CE646ED-C430-4BD8-8419-D5D2B8044C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3DE5D35-54A8-4C07-9810-F054BB2200B3}" name="Client" dataDxfId="34"/>
    <tableColumn id="2" xr3:uid="{21CB7DF5-177E-462F-A416-F6AEF7070D3F}" name="Service" dataDxfId="33"/>
    <tableColumn id="3" xr3:uid="{C8F402E9-A324-4D90-B5B6-B3D3C08FD4F1}" name="Cost" dataDxfId="32" dataCellStyle="Comma"/>
    <tableColumn id="4" xr3:uid="{09E9BC28-F6F8-452D-B82B-B63A29D9F0C2}" name="Billing" dataDxfId="31"/>
    <tableColumn id="5" xr3:uid="{EBD4617C-6523-4730-88BE-1243676DF032}" name="LastPaid" dataDxfId="30"/>
    <tableColumn id="6" xr3:uid="{7DBAD2BA-A282-4794-A278-40B771E9794E}" name="ActiveStatus" dataDxfId="29"/>
    <tableColumn id="7" xr3:uid="{25AB06F3-D9BB-41D6-8122-36019CF4091F}" name="NextRenewal" dataDxfId="28">
      <calculatedColumnFormula>IF(ServiceTable[[#This Row],[ActiveStatus]]="No", "inactive", EDATE(ServiceTable[[#This Row],[LastPaid]], IF(ServiceTable[[#This Row],[Billing]]="Monthly", 1, IF(ServiceTable[[#This Row],[Billing]]="Quarterly", 3, 12))))</calculatedColumnFormula>
    </tableColumn>
    <tableColumn id="8" xr3:uid="{3946BF83-CD18-431B-98E2-8F240C2D7FEB}" name="Alert" dataDxfId="27">
      <calculatedColumnFormula>IF(ServiceTable[[#This Row],[ActiveStatus]] = "No", "Inactive", IF(ServiceTable[[#This Row],[NextRenewal]] - TODAY() &lt;= 3, "Act now - Invoice due", IF(ServiceTable[[#This Row],[NextRenewal]] - TODAY() &lt;= 7, "Invoice is fast approaching", "No action needed")))</calculatedColumnFormula>
    </tableColumn>
    <tableColumn id="9" xr3:uid="{C0596CF2-B236-4935-A937-A44466672303}" name="Remarks" dataDxfId="26">
      <calculatedColumnFormula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calculatedColumnFormula>
    </tableColumn>
    <tableColumn id="10" xr3:uid="{F03550E7-A2D6-4013-B862-94877434A158}" name="EmailDeterminant" dataDxfId="25">
      <calculatedColumnFormula>INT(IF(ServiceTable[[#This Row],[ActiveStatus]] = "No", -1000, ServiceTable[[#This Row],[NextRenewal]] - TODAY()))</calculatedColumnFormula>
    </tableColumn>
    <tableColumn id="16" xr3:uid="{78A89205-5E3E-478B-A958-F175F1E1B0AD}" name="QTY" dataDxfId="24"/>
    <tableColumn id="17" xr3:uid="{2AE904D3-F109-4C7F-84DB-145849AA1F75}" name="Discount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06524F-BD77-4AF9-B3AB-7FFBC118282C}" name="ClientTable" displayName="ClientTable" ref="O1:W6" headerRowDxfId="22" dataDxfId="21" headerRowBorderDxfId="19" tableBorderDxfId="20" totalsRowBorderDxfId="18">
  <autoFilter ref="O1:W6" xr:uid="{A606524F-BD77-4AF9-B3AB-7FFBC11828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0D4E92F-D062-4522-ABC0-4C078FE11EBE}" name="Client" totalsRowLabel="Total" dataDxfId="16" totalsRowDxfId="17" dataCellStyle="Hyperlink" totalsRowCellStyle="Hyperlink"/>
    <tableColumn id="8" xr3:uid="{88D3E119-F944-4546-BA2D-B468EDD072B6}" name="Emails" dataDxfId="14" totalsRowDxfId="15" dataCellStyle="Hyperlink" totalsRowCellStyle="Hyperlink"/>
    <tableColumn id="2" xr3:uid="{36DAD3A8-A5B6-41CD-84D6-183BE805BBB2}" name="In_copy" dataDxfId="12" totalsRowDxfId="13" dataCellStyle="Hyperlink"/>
    <tableColumn id="3" xr3:uid="{1752F5ED-8A18-474B-A3AD-4929BFC8DD77}" name="AddressLine1" dataDxfId="10" totalsRowDxfId="11"/>
    <tableColumn id="4" xr3:uid="{C43923F0-8A43-44E1-B3E2-E5F1798D55FB}" name="AddressLine2" dataDxfId="8" totalsRowDxfId="9"/>
    <tableColumn id="5" xr3:uid="{828A6FC1-97D4-4BB1-96C2-908C9A576B3B}" name="AddressLine3" dataDxfId="6" totalsRowDxfId="7"/>
    <tableColumn id="6" xr3:uid="{F6B0F55F-4D8A-4211-911A-87A06C061BF4}" name="Bill_No" dataDxfId="4" totalsRowDxfId="5"/>
    <tableColumn id="7" xr3:uid="{D6C68E50-D567-4669-8EC3-94F477DB69AF}" name="Invoice_No" totalsRowFunction="sum" dataDxfId="2" totalsRowDxfId="3">
      <calculatedColumnFormula>"ITS_"&amp;YEAR(ClientTable[[#This Row],[Date]])&amp;"_"&amp;ClientTable[[#This Row],[Bill_No]]</calculatedColumnFormula>
    </tableColumn>
    <tableColumn id="9" xr3:uid="{721E63B0-E62A-458F-BE22-7D1E4508D675}" name="Date" dataDxfId="0" totalsRowDxfId="1">
      <calculatedColumnFormula>TODAY()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ctsolutionsforeveryone@gmail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ictsolutionsforeveryone@gmail.com" TargetMode="External"/><Relationship Id="rId7" Type="http://schemas.openxmlformats.org/officeDocument/2006/relationships/hyperlink" Target="mailto:lcim1104@gmail.com" TargetMode="External"/><Relationship Id="rId12" Type="http://schemas.openxmlformats.org/officeDocument/2006/relationships/hyperlink" Target="mailto:l.cim@outlook.com" TargetMode="External"/><Relationship Id="rId2" Type="http://schemas.openxmlformats.org/officeDocument/2006/relationships/hyperlink" Target="mailto:l.cim@outlook.com" TargetMode="External"/><Relationship Id="rId1" Type="http://schemas.openxmlformats.org/officeDocument/2006/relationships/hyperlink" Target="mailto:ictsolutionsforeveryone@gmail.com" TargetMode="External"/><Relationship Id="rId6" Type="http://schemas.openxmlformats.org/officeDocument/2006/relationships/hyperlink" Target="mailto:lcim1104@gmail.com" TargetMode="External"/><Relationship Id="rId11" Type="http://schemas.openxmlformats.org/officeDocument/2006/relationships/hyperlink" Target="mailto:lcim1104@gmail.com" TargetMode="External"/><Relationship Id="rId5" Type="http://schemas.openxmlformats.org/officeDocument/2006/relationships/hyperlink" Target="mailto:l.cim@outlook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lcim@outlook.com" TargetMode="External"/><Relationship Id="rId4" Type="http://schemas.openxmlformats.org/officeDocument/2006/relationships/hyperlink" Target="mailto:lcim1104@gmail.com" TargetMode="External"/><Relationship Id="rId9" Type="http://schemas.openxmlformats.org/officeDocument/2006/relationships/hyperlink" Target="mailto:l.cim@outlook.com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08-6F5C-4A64-AB39-F91D445CBC3B}">
  <dimension ref="A1:W8"/>
  <sheetViews>
    <sheetView workbookViewId="0">
      <selection activeCell="M6" sqref="M6"/>
    </sheetView>
  </sheetViews>
  <sheetFormatPr defaultRowHeight="15.75"/>
  <cols>
    <col min="1" max="1" width="8.375" customWidth="1"/>
    <col min="2" max="2" width="11.875" customWidth="1"/>
    <col min="3" max="3" width="10.125" customWidth="1"/>
    <col min="4" max="4" width="7.875" customWidth="1"/>
    <col min="5" max="5" width="10.625" customWidth="1"/>
    <col min="6" max="6" width="6" customWidth="1"/>
    <col min="7" max="7" width="11.125" customWidth="1"/>
    <col min="8" max="8" width="10.5" customWidth="1"/>
    <col min="9" max="9" width="9.25" customWidth="1"/>
    <col min="10" max="10" width="11" customWidth="1"/>
    <col min="11" max="11" width="7.5" customWidth="1"/>
    <col min="12" max="12" width="8.25" customWidth="1"/>
    <col min="15" max="15" width="10.375" customWidth="1"/>
    <col min="16" max="17" width="20.125" customWidth="1"/>
    <col min="18" max="18" width="17.625" customWidth="1"/>
    <col min="19" max="19" width="14.5" customWidth="1"/>
    <col min="20" max="20" width="14.125" customWidth="1"/>
    <col min="21" max="21" width="7.875" customWidth="1"/>
    <col min="22" max="22" width="12.875" customWidth="1"/>
    <col min="23" max="23" width="12.625" customWidth="1"/>
  </cols>
  <sheetData>
    <row r="1" spans="1:23" ht="30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O1" s="12" t="s">
        <v>0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</row>
    <row r="2" spans="1:23" ht="30.75">
      <c r="A2" s="1" t="s">
        <v>20</v>
      </c>
      <c r="B2" s="5" t="s">
        <v>21</v>
      </c>
      <c r="C2" s="3">
        <v>1700378</v>
      </c>
      <c r="D2" s="2" t="s">
        <v>22</v>
      </c>
      <c r="E2" s="4">
        <v>45900</v>
      </c>
      <c r="F2" s="1" t="s">
        <v>23</v>
      </c>
      <c r="G2" s="4">
        <f>IF(ServiceTable[[#This Row],[ActiveStatus]]="No", "inactive", EDATE(ServiceTable[[#This Row],[LastPaid]], IF(ServiceTable[[#This Row],[Billing]]="Monthly", 1, IF(ServiceTable[[#This Row],[Billing]]="Quarterly", 3, 12))))</f>
        <v>46265</v>
      </c>
      <c r="H2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2" s="2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 day overdue</v>
      </c>
      <c r="J2" s="6">
        <f ca="1">INT(IF(ServiceTable[[#This Row],[ActiveStatus]] = "No", -1000, ServiceTable[[#This Row],[NextRenewal]] - TODAY()))</f>
        <v>-1</v>
      </c>
      <c r="K2" s="6">
        <v>2</v>
      </c>
      <c r="L2" s="22">
        <v>100000</v>
      </c>
      <c r="O2" s="13" t="s">
        <v>20</v>
      </c>
      <c r="P2" s="13" t="s">
        <v>24</v>
      </c>
      <c r="Q2" s="13" t="s">
        <v>25</v>
      </c>
      <c r="R2" s="14" t="s">
        <v>26</v>
      </c>
      <c r="S2" s="14" t="s">
        <v>27</v>
      </c>
      <c r="T2" s="14"/>
      <c r="U2" s="20">
        <v>1025</v>
      </c>
      <c r="V2" s="15" t="str">
        <f ca="1">"ITS_"&amp;YEAR(ClientTable[[#This Row],[Date]])&amp;"_"&amp;ClientTable[[#This Row],[Bill_No]]</f>
        <v>ITS_2026_1025</v>
      </c>
      <c r="W2" s="18">
        <f t="shared" ref="W2:W6" ca="1" si="0">TODAY()</f>
        <v>46266</v>
      </c>
    </row>
    <row r="3" spans="1:23" ht="30.75">
      <c r="A3" s="1" t="s">
        <v>28</v>
      </c>
      <c r="B3" s="5" t="s">
        <v>29</v>
      </c>
      <c r="C3" s="3">
        <v>128500</v>
      </c>
      <c r="D3" s="2" t="s">
        <v>30</v>
      </c>
      <c r="E3" s="4">
        <v>46188</v>
      </c>
      <c r="F3" s="1" t="s">
        <v>31</v>
      </c>
      <c r="G3" s="4" t="str">
        <f>IF(ServiceTable[[#This Row],[ActiveStatus]]="No", "inactive", EDATE(ServiceTable[[#This Row],[LastPaid]], IF(ServiceTable[[#This Row],[Billing]]="Monthly", 1, IF(ServiceTable[[#This Row],[Billing]]="Quarterly", 3, 12))))</f>
        <v>inactive</v>
      </c>
      <c r="H3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Inactive</v>
      </c>
      <c r="I3" s="2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Bill canceled</v>
      </c>
      <c r="J3" s="6">
        <f ca="1">INT(IF(ServiceTable[[#This Row],[ActiveStatus]] = "No", -1000, ServiceTable[[#This Row],[NextRenewal]] - TODAY()))</f>
        <v>-1000</v>
      </c>
      <c r="K3" s="6">
        <v>1</v>
      </c>
      <c r="L3" s="23"/>
      <c r="O3" s="10" t="s">
        <v>28</v>
      </c>
      <c r="P3" s="10" t="s">
        <v>32</v>
      </c>
      <c r="Q3" s="11" t="s">
        <v>33</v>
      </c>
      <c r="R3" s="16" t="s">
        <v>34</v>
      </c>
      <c r="S3" s="11" t="s">
        <v>35</v>
      </c>
      <c r="T3" s="11" t="s">
        <v>36</v>
      </c>
      <c r="U3" s="21">
        <v>1020</v>
      </c>
      <c r="V3" s="11" t="str">
        <f ca="1">"ITS_"&amp;YEAR(ClientTable[[#This Row],[Date]])&amp;"_"&amp;ClientTable[[#This Row],[Bill_No]]</f>
        <v>ITS_2026_1020</v>
      </c>
      <c r="W3" s="19">
        <f t="shared" ca="1" si="0"/>
        <v>46266</v>
      </c>
    </row>
    <row r="4" spans="1:23" ht="46.5">
      <c r="A4" s="1" t="s">
        <v>20</v>
      </c>
      <c r="B4" s="5" t="s">
        <v>37</v>
      </c>
      <c r="C4" s="3">
        <v>50000</v>
      </c>
      <c r="D4" s="2" t="s">
        <v>30</v>
      </c>
      <c r="E4" s="4">
        <v>46236</v>
      </c>
      <c r="F4" s="1" t="s">
        <v>23</v>
      </c>
      <c r="G4" s="4">
        <f>IF(ServiceTable[[#This Row],[ActiveStatus]]="No", "inactive", EDATE(ServiceTable[[#This Row],[LastPaid]], IF(ServiceTable[[#This Row],[Billing]]="Monthly", 1, IF(ServiceTable[[#This Row],[Billing]]="Quarterly", 3, 12))))</f>
        <v>46267</v>
      </c>
      <c r="H4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4" s="2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 day left</v>
      </c>
      <c r="J4" s="6">
        <f ca="1">INT(IF(ServiceTable[[#This Row],[ActiveStatus]] = "No", -1000, ServiceTable[[#This Row],[NextRenewal]] - TODAY()))</f>
        <v>1</v>
      </c>
      <c r="K4" s="6">
        <v>3</v>
      </c>
      <c r="L4" s="23"/>
      <c r="O4" s="13" t="s">
        <v>38</v>
      </c>
      <c r="P4" s="13" t="s">
        <v>39</v>
      </c>
      <c r="Q4" s="13" t="s">
        <v>25</v>
      </c>
      <c r="R4" s="14" t="s">
        <v>26</v>
      </c>
      <c r="S4" s="14" t="s">
        <v>27</v>
      </c>
      <c r="T4" s="14"/>
      <c r="U4" s="20">
        <v>1000</v>
      </c>
      <c r="V4" s="15" t="str">
        <f ca="1">"ITS_"&amp;YEAR(ClientTable[[#This Row],[Date]])&amp;"_"&amp;ClientTable[[#This Row],[Bill_No]]</f>
        <v>ITS_2026_1000</v>
      </c>
      <c r="W4" s="18">
        <f t="shared" ca="1" si="0"/>
        <v>46266</v>
      </c>
    </row>
    <row r="5" spans="1:23" ht="30.75">
      <c r="A5" s="1" t="s">
        <v>40</v>
      </c>
      <c r="B5" s="5" t="s">
        <v>41</v>
      </c>
      <c r="C5" s="3">
        <v>2000000</v>
      </c>
      <c r="D5" s="2" t="s">
        <v>42</v>
      </c>
      <c r="E5" s="4">
        <v>46254</v>
      </c>
      <c r="F5" s="1" t="s">
        <v>23</v>
      </c>
      <c r="G5" s="4">
        <f>IF(ServiceTable[[#This Row],[ActiveStatus]]="No", "inactive", EDATE(ServiceTable[[#This Row],[LastPaid]], IF(ServiceTable[[#This Row],[Billing]]="Monthly", 1, IF(ServiceTable[[#This Row],[Billing]]="Quarterly", 3, 12))))</f>
        <v>46346</v>
      </c>
      <c r="H5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No action needed</v>
      </c>
      <c r="I5" s="2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80 days left</v>
      </c>
      <c r="J5" s="6">
        <f ca="1">INT(IF(ServiceTable[[#This Row],[ActiveStatus]] = "No", -1000, ServiceTable[[#This Row],[NextRenewal]] - TODAY()))</f>
        <v>80</v>
      </c>
      <c r="K5" s="6">
        <v>1</v>
      </c>
      <c r="L5" s="23">
        <v>54000</v>
      </c>
      <c r="O5" s="10" t="s">
        <v>40</v>
      </c>
      <c r="P5" s="10" t="s">
        <v>25</v>
      </c>
      <c r="Q5" s="11" t="s">
        <v>33</v>
      </c>
      <c r="R5" s="16" t="s">
        <v>43</v>
      </c>
      <c r="S5" s="11" t="s">
        <v>44</v>
      </c>
      <c r="T5" s="11" t="s">
        <v>45</v>
      </c>
      <c r="U5" s="21">
        <v>1020</v>
      </c>
      <c r="V5" s="11" t="str">
        <f ca="1">"ITS_"&amp;YEAR(ClientTable[[#This Row],[Date]])&amp;"_"&amp;ClientTable[[#This Row],[Bill_No]]</f>
        <v>ITS_2026_1020</v>
      </c>
      <c r="W5" s="19">
        <f t="shared" ca="1" si="0"/>
        <v>46266</v>
      </c>
    </row>
    <row r="6" spans="1:23" ht="30.75">
      <c r="A6" s="1" t="s">
        <v>46</v>
      </c>
      <c r="B6" s="5" t="s">
        <v>21</v>
      </c>
      <c r="C6" s="3">
        <v>2555000</v>
      </c>
      <c r="D6" s="2" t="s">
        <v>22</v>
      </c>
      <c r="E6" s="7">
        <v>45894</v>
      </c>
      <c r="F6" s="1" t="s">
        <v>23</v>
      </c>
      <c r="G6" s="4">
        <f>IF(ServiceTable[[#This Row],[ActiveStatus]]="No", "inactive", EDATE(ServiceTable[[#This Row],[LastPaid]], IF(ServiceTable[[#This Row],[Billing]]="Monthly", 1, IF(ServiceTable[[#This Row],[Billing]]="Quarterly", 3, 12))))</f>
        <v>46259</v>
      </c>
      <c r="H6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6" s="2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7 days overdue</v>
      </c>
      <c r="J6" s="6">
        <f ca="1">INT(IF(ServiceTable[[#This Row],[ActiveStatus]] = "No", -1000, ServiceTable[[#This Row],[NextRenewal]] - TODAY()))</f>
        <v>-7</v>
      </c>
      <c r="K6" s="6">
        <v>1</v>
      </c>
      <c r="L6" s="23"/>
      <c r="O6" s="13" t="s">
        <v>46</v>
      </c>
      <c r="P6" s="13" t="s">
        <v>32</v>
      </c>
      <c r="Q6" s="13" t="s">
        <v>33</v>
      </c>
      <c r="R6" s="14" t="s">
        <v>47</v>
      </c>
      <c r="S6" s="14" t="s">
        <v>48</v>
      </c>
      <c r="T6" s="14" t="s">
        <v>36</v>
      </c>
      <c r="U6" s="20">
        <v>1020</v>
      </c>
      <c r="V6" s="15" t="str">
        <f ca="1">"ITS_"&amp;YEAR(ClientTable[[#This Row],[Date]])&amp;"_"&amp;ClientTable[[#This Row],[Bill_No]]</f>
        <v>ITS_2026_1020</v>
      </c>
      <c r="W6" s="18">
        <f t="shared" ca="1" si="0"/>
        <v>46266</v>
      </c>
    </row>
    <row r="7" spans="1:23" ht="30.75">
      <c r="A7" s="1" t="s">
        <v>28</v>
      </c>
      <c r="B7" s="5" t="s">
        <v>29</v>
      </c>
      <c r="C7" s="3">
        <v>120000</v>
      </c>
      <c r="D7" s="2" t="s">
        <v>30</v>
      </c>
      <c r="E7" s="17">
        <v>46226</v>
      </c>
      <c r="F7" s="1" t="s">
        <v>23</v>
      </c>
      <c r="G7" s="17">
        <f>IF(ServiceTable[[#This Row],[ActiveStatus]]="No", "inactive", EDATE(ServiceTable[[#This Row],[LastPaid]], IF(ServiceTable[[#This Row],[Billing]]="Monthly", 1, IF(ServiceTable[[#This Row],[Billing]]="Quarterly", 3, 12))))</f>
        <v>46257</v>
      </c>
      <c r="H7" s="5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7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9 days overdue</v>
      </c>
      <c r="J7" s="6">
        <f ca="1">INT(IF(ServiceTable[[#This Row],[ActiveStatus]] = "No", -1000, ServiceTable[[#This Row],[NextRenewal]] - TODAY()))</f>
        <v>-9</v>
      </c>
      <c r="K7" s="6">
        <v>3</v>
      </c>
      <c r="L7" s="23">
        <v>10000</v>
      </c>
    </row>
    <row r="8" spans="1:23" ht="54.75">
      <c r="A8" s="1" t="s">
        <v>49</v>
      </c>
      <c r="B8" s="5" t="s">
        <v>21</v>
      </c>
      <c r="C8" s="3">
        <v>890000</v>
      </c>
      <c r="D8" s="2" t="s">
        <v>42</v>
      </c>
      <c r="E8" s="17">
        <v>46057</v>
      </c>
      <c r="F8" s="1" t="s">
        <v>23</v>
      </c>
      <c r="G8" s="17">
        <f>IF(ServiceTable[[#This Row],[ActiveStatus]]="No", "inactive", EDATE(ServiceTable[[#This Row],[LastPaid]], IF(ServiceTable[[#This Row],[Billing]]="Monthly", 1, IF(ServiceTable[[#This Row],[Billing]]="Quarterly", 3, 12))))</f>
        <v>46146</v>
      </c>
      <c r="H8" s="8" t="str">
        <f ca="1">IF(ServiceTable[[#This Row],[ActiveStatus]] = "No", "Inactive", IF(ServiceTable[[#This Row],[NextRenewal]] - TODAY() &lt;= 3, "Act now - Invoice due", IF(ServiceTable[[#This Row],[NextRenewal]] - TODAY() &lt;= 7, "Invoice is fast approaching", "No action needed")))</f>
        <v>Act now - Invoice due</v>
      </c>
      <c r="I8" t="str">
        <f ca="1">IF(ServiceTable[[#This Row],[ActiveStatus]]  = "No", "Bill canceled", IF((ServiceTable[[#This Row],[NextRenewal]] - TODAY()) &lt; 0, ABS(ServiceTable[[#This Row],[NextRenewal]] - TODAY()) &amp; IF(ABS(ServiceTable[[#This Row],[NextRenewal]] - TODAY()) = 1, " day", " days") &amp; " overdue", ServiceTable[[#This Row],[NextRenewal]] - TODAY() &amp; IF(ServiceTable[[#This Row],[NextRenewal]] - TODAY() = 1, " day", " days") &amp; " left"))</f>
        <v>120 days overdue</v>
      </c>
      <c r="J8" s="6">
        <f ca="1">INT(IF(ServiceTable[[#This Row],[ActiveStatus]] = "No", -1000, ServiceTable[[#This Row],[NextRenewal]] - TODAY()))</f>
        <v>-120</v>
      </c>
      <c r="K8" s="6">
        <v>2</v>
      </c>
      <c r="L8" s="23"/>
    </row>
  </sheetData>
  <conditionalFormatting sqref="I2:I8">
    <cfRule type="expression" dxfId="37" priority="1">
      <formula>AND(J2 &gt;= 0, J2 &lt;= 3)</formula>
    </cfRule>
    <cfRule type="expression" dxfId="36" priority="2">
      <formula>J2 &lt; 0</formula>
    </cfRule>
  </conditionalFormatting>
  <dataValidations count="1">
    <dataValidation type="list" allowBlank="1" showInputMessage="1" showErrorMessage="1" sqref="F2:F8" xr:uid="{0829650D-3767-426C-8D7C-2A472107095C}">
      <formula1>"Yes,No"</formula1>
    </dataValidation>
  </dataValidations>
  <hyperlinks>
    <hyperlink ref="O2" r:id="rId1" xr:uid="{2BFB5B7D-E6AE-4E1F-A47E-77EA479FB0D8}"/>
    <hyperlink ref="O3" r:id="rId2" xr:uid="{24080605-81D1-4CD6-90C2-9A086A0F7CBC}"/>
    <hyperlink ref="O4" r:id="rId3" xr:uid="{09D8DBF7-D19D-4A59-B24E-3DD879CA1198}"/>
    <hyperlink ref="O5" r:id="rId4" xr:uid="{DFE1A164-D5B3-4A37-AB22-A1E43C4AA6EE}"/>
    <hyperlink ref="O6" r:id="rId5" xr:uid="{C22C088D-E549-4282-9D8E-081AB1284915}"/>
    <hyperlink ref="Q4" r:id="rId6" xr:uid="{652DDEDA-7105-4B25-A22C-874684B2153A}"/>
    <hyperlink ref="Q2" r:id="rId7" xr:uid="{AEEBCBB7-470F-49F2-94EB-937510D06F90}"/>
    <hyperlink ref="P2" r:id="rId8" xr:uid="{639639A8-DB92-419B-A0DA-E75C3B4E4783}"/>
    <hyperlink ref="P3" r:id="rId9" xr:uid="{379CC7D7-32F8-48FF-BB03-D67EF56D2532}"/>
    <hyperlink ref="P4" r:id="rId10" xr:uid="{1B190A27-1D5F-44AD-BF0B-574C8E00A345}"/>
    <hyperlink ref="P5" r:id="rId11" xr:uid="{48753FA0-1302-4192-9970-87445FCE57A8}"/>
    <hyperlink ref="P6" r:id="rId12" xr:uid="{02AFD0DC-E867-4C98-95A5-E70FBD145E87}"/>
  </hyperlinks>
  <pageMargins left="0.7" right="0.7" top="0.75" bottom="0.75" header="0.3" footer="0.3"/>
  <pageSetup orientation="portrait"/>
  <drawing r:id="rId13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5442-410F-4C65-8987-8C86A57C94DC}">
  <dimension ref="A1"/>
  <sheetViews>
    <sheetView tabSelected="1"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Mbibi</dc:creator>
  <cp:keywords/>
  <dc:description/>
  <cp:lastModifiedBy/>
  <cp:revision/>
  <dcterms:created xsi:type="dcterms:W3CDTF">2026-07-01T12:01:43Z</dcterms:created>
  <dcterms:modified xsi:type="dcterms:W3CDTF">2026-09-01T14:51:21Z</dcterms:modified>
  <cp:category/>
  <cp:contentStatus/>
</cp:coreProperties>
</file>
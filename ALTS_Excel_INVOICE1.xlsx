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92F0578F-B9E3-498A-BC08-C329ED9FF2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 a="1"/>
  <c r="A11" i="1"/>
  <c r="A10" i="1" a="1"/>
  <c r="A10" i="1"/>
  <c r="A9" i="1" a="1"/>
  <c r="A9" i="1"/>
  <c r="D18" i="1"/>
  <c r="D8" i="1"/>
  <c r="D16" i="1"/>
  <c r="D17" i="1"/>
  <c r="D19" i="1"/>
  <c r="D20" i="1"/>
  <c r="D15" i="1"/>
  <c r="D21" i="1" s="1"/>
  <c r="D23" i="1" l="1"/>
  <c r="D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tc={74B194F1-706C-4D16-B8CF-841F3FE0ACD5}</author>
  </authors>
  <commentList>
    <comment ref="D21" authorId="0" shapeId="0" xr:uid="{74B194F1-706C-4D16-B8CF-841F3FE0ACD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formula can also be used here:
=IF(SUM(InvoiceTable[AMOUNT])=0, "", SUM(InvoiceTable[AMOUNT]))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<sst xmlns="http://schemas.openxmlformats.org/spreadsheetml/2006/main" count="33" uniqueCount="32">
  <si>
    <t>INVOICE</t>
  </si>
  <si>
    <t>5 Wami Street, Off Aba Road</t>
  </si>
  <si>
    <t>By St. John's B.Stop</t>
  </si>
  <si>
    <t>Phone: 08037380044</t>
  </si>
  <si>
    <t>BILL_T0</t>
  </si>
  <si>
    <t>Bill_No</t>
  </si>
  <si>
    <t>INVOICE_No</t>
  </si>
  <si>
    <t>DATE</t>
  </si>
  <si>
    <t>Row_ID</t>
  </si>
  <si>
    <t>AddressLine1</t>
  </si>
  <si>
    <t>AddressLine2</t>
  </si>
  <si>
    <t>AddressLine3</t>
  </si>
  <si>
    <t>FDL</t>
  </si>
  <si>
    <t>ITS_2026_1050</t>
  </si>
  <si>
    <t>12 Ugbana Lane</t>
  </si>
  <si>
    <t>Aba, Abia State</t>
  </si>
  <si>
    <t>COMPANY ACCOUNT DETAILS</t>
  </si>
  <si>
    <t>ICT SOLUTIONS LIMITED</t>
  </si>
  <si>
    <t>Arondizuogu Community Bank =&gt; 20337886565</t>
  </si>
  <si>
    <t>DESCRIPTION</t>
  </si>
  <si>
    <t>QTY</t>
  </si>
  <si>
    <t>UNIT PRICE</t>
  </si>
  <si>
    <t>AMOUNT</t>
  </si>
  <si>
    <t>M365 Subscription</t>
  </si>
  <si>
    <t>Internet Service Subscription</t>
  </si>
  <si>
    <t>Thanks for partnering with us.</t>
  </si>
  <si>
    <t>SUBTOTAL</t>
  </si>
  <si>
    <t>TAX RATE</t>
  </si>
  <si>
    <t>TAX</t>
  </si>
  <si>
    <t>TOTAL</t>
  </si>
  <si>
    <t>If you have any questions about this invoice, please contact</t>
  </si>
  <si>
    <t>Call Iyke on 08037886767 or ictsolutionsforeveryone@gmail.com.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</si>
</sst>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₦-470]#,##0.00;\-[$₦-470]#,##0.00"/>
    <numFmt numFmtId="165" formatCode="[$-409]d\-mmm\-yyyy;@"/>
  </numFmts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b/>
      <sz val="10"/>
      <color theme="1"/>
      <name val="Aptos"/>
      <charset val="1"/>
    </font>
    <font>
      <b/>
      <sz val="10"/>
      <color rgb="FFFFFFFF"/>
      <name val="Aptos"/>
      <charset val="1"/>
    </font>
    <font>
      <sz val="10"/>
      <color theme="1"/>
      <name val="Aptos"/>
      <charset val="1"/>
    </font>
    <font>
      <b/>
      <i/>
      <sz val="10"/>
      <color rgb="FF144572"/>
      <name val="Aptos"/>
      <charset val="1"/>
    </font>
    <font>
      <b/>
      <sz val="18"/>
      <color rgb="FFFFFFFF"/>
      <name val="Aptos"/>
      <charset val="1"/>
    </font>
    <font>
      <b/>
      <sz val="36"/>
      <color rgb="FF144572"/>
      <name val="Aptos"/>
      <charset val="1"/>
    </font>
    <font>
      <b/>
      <sz val="18"/>
      <color rgb="FF0E2E4B"/>
      <name val="Aharoni"/>
    </font>
    <font>
      <sz val="11"/>
      <color theme="0"/>
      <name val="Calibri"/>
      <family val="2"/>
      <scheme val="minor"/>
    </font>
    <font>
      <sz val="11"/>
      <color rgb="FF144572"/>
      <name val="Calibri"/>
      <family val="2"/>
      <scheme val="minor"/>
    </font>
    <font>
      <sz val="11"/>
      <color theme="1"/>
      <name val="Arial"/>
      <charset val="1"/>
    </font>
    <font>
      <sz val="9"/>
      <color theme="1"/>
      <name val="Arial"/>
      <charset val="1"/>
    </font>
    <font>
      <sz val="10"/>
      <color theme="1"/>
      <name val="Times New Roman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144572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3" borderId="0" xfId="0" applyFont="1" applyFill="1" applyAlignment="1">
      <alignment readingOrder="1"/>
    </xf>
    <xf numFmtId="0" fontId="4" fillId="2" borderId="0" xfId="0" applyFont="1" applyFill="1" applyAlignment="1">
      <alignment horizontal="center" readingOrder="1"/>
    </xf>
    <xf numFmtId="164" fontId="5" fillId="3" borderId="0" xfId="0" applyNumberFormat="1" applyFont="1" applyFill="1" applyAlignment="1">
      <alignment readingOrder="1"/>
    </xf>
    <xf numFmtId="10" fontId="5" fillId="3" borderId="0" xfId="0" applyNumberFormat="1" applyFont="1" applyFill="1" applyAlignment="1">
      <alignment readingOrder="1"/>
    </xf>
    <xf numFmtId="0" fontId="5" fillId="3" borderId="0" xfId="0" applyFont="1" applyFill="1" applyAlignment="1">
      <alignment readingOrder="1"/>
    </xf>
    <xf numFmtId="164" fontId="2" fillId="3" borderId="0" xfId="0" applyNumberFormat="1" applyFont="1" applyFill="1" applyAlignment="1">
      <alignment readingOrder="1"/>
    </xf>
    <xf numFmtId="0" fontId="7" fillId="2" borderId="0" xfId="0" applyFont="1" applyFill="1" applyAlignment="1">
      <alignment readingOrder="1"/>
    </xf>
    <xf numFmtId="164" fontId="7" fillId="2" borderId="2" xfId="0" applyNumberFormat="1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3" fillId="3" borderId="1" xfId="0" applyFont="1" applyFill="1" applyBorder="1" applyAlignment="1">
      <alignment readingOrder="1"/>
    </xf>
    <xf numFmtId="0" fontId="2" fillId="3" borderId="1" xfId="0" applyFont="1" applyFill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5" fillId="3" borderId="1" xfId="0" applyFont="1" applyFill="1" applyBorder="1" applyAlignment="1">
      <alignment readingOrder="1"/>
    </xf>
    <xf numFmtId="0" fontId="1" fillId="3" borderId="1" xfId="1" applyFill="1" applyBorder="1" applyAlignment="1">
      <alignment readingOrder="1"/>
    </xf>
    <xf numFmtId="0" fontId="6" fillId="3" borderId="1" xfId="0" applyFont="1" applyFill="1" applyBorder="1" applyAlignment="1">
      <alignment readingOrder="1"/>
    </xf>
    <xf numFmtId="0" fontId="2" fillId="3" borderId="6" xfId="0" applyFont="1" applyFill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0" fillId="3" borderId="2" xfId="0" applyFill="1" applyBorder="1"/>
    <xf numFmtId="0" fontId="0" fillId="3" borderId="8" xfId="0" applyFill="1" applyBorder="1"/>
    <xf numFmtId="0" fontId="10" fillId="3" borderId="2" xfId="0" applyFont="1" applyFill="1" applyBorder="1"/>
    <xf numFmtId="0" fontId="0" fillId="3" borderId="5" xfId="0" applyFill="1" applyBorder="1"/>
    <xf numFmtId="0" fontId="11" fillId="2" borderId="2" xfId="0" applyFont="1" applyFill="1" applyBorder="1"/>
    <xf numFmtId="0" fontId="0" fillId="2" borderId="2" xfId="0" applyFill="1" applyBorder="1"/>
    <xf numFmtId="0" fontId="9" fillId="3" borderId="3" xfId="0" applyFont="1" applyFill="1" applyBorder="1" applyAlignment="1">
      <alignment readingOrder="1"/>
    </xf>
    <xf numFmtId="0" fontId="5" fillId="3" borderId="4" xfId="0" applyFont="1" applyFill="1" applyBorder="1" applyAlignment="1">
      <alignment readingOrder="1"/>
    </xf>
    <xf numFmtId="0" fontId="3" fillId="3" borderId="4" xfId="0" applyFont="1" applyFill="1" applyBorder="1" applyAlignment="1">
      <alignment readingOrder="1"/>
    </xf>
    <xf numFmtId="165" fontId="3" fillId="3" borderId="4" xfId="0" applyNumberFormat="1" applyFont="1" applyFill="1" applyBorder="1" applyAlignment="1">
      <alignment readingOrder="1"/>
    </xf>
    <xf numFmtId="0" fontId="12" fillId="3" borderId="4" xfId="0" applyFont="1" applyFill="1" applyBorder="1" applyAlignment="1">
      <alignment horizontal="center" readingOrder="1"/>
    </xf>
    <xf numFmtId="0" fontId="13" fillId="3" borderId="0" xfId="0" applyFont="1" applyFill="1" applyAlignment="1">
      <alignment readingOrder="1"/>
    </xf>
    <xf numFmtId="0" fontId="0" fillId="0" borderId="9" xfId="0" applyBorder="1"/>
    <xf numFmtId="0" fontId="15" fillId="0" borderId="0" xfId="0" applyFont="1"/>
    <xf numFmtId="164" fontId="7" fillId="2" borderId="0" xfId="0" applyNumberFormat="1" applyFont="1" applyFill="1" applyAlignment="1">
      <alignment readingOrder="1"/>
    </xf>
    <xf numFmtId="0" fontId="10" fillId="3" borderId="5" xfId="0" applyFont="1" applyFill="1" applyBorder="1"/>
    <xf numFmtId="0" fontId="3" fillId="3" borderId="1" xfId="0" applyFont="1" applyFill="1" applyBorder="1" applyAlignment="1">
      <alignment readingOrder="1"/>
    </xf>
    <xf numFmtId="0" fontId="3" fillId="3" borderId="0" xfId="0" applyFont="1" applyFill="1" applyAlignment="1">
      <alignment readingOrder="1"/>
    </xf>
    <xf numFmtId="0" fontId="2" fillId="3" borderId="0" xfId="0" applyFont="1" applyFill="1" applyAlignment="1">
      <alignment readingOrder="1"/>
    </xf>
    <xf numFmtId="0" fontId="8" fillId="3" borderId="4" xfId="0" applyFont="1" applyFill="1" applyBorder="1" applyAlignment="1">
      <alignment horizontal="right" wrapText="1" readingOrder="1"/>
    </xf>
    <xf numFmtId="0" fontId="5" fillId="3" borderId="1" xfId="0" applyFont="1" applyFill="1" applyBorder="1" applyAlignment="1">
      <alignment readingOrder="1"/>
    </xf>
    <xf numFmtId="0" fontId="5" fillId="3" borderId="0" xfId="0" applyFont="1" applyFill="1" applyAlignment="1">
      <alignment readingOrder="1"/>
    </xf>
    <xf numFmtId="0" fontId="14" fillId="3" borderId="0" xfId="0" applyFont="1" applyFill="1" applyAlignment="1">
      <alignment horizontal="center" readingOrder="1"/>
    </xf>
  </cellXfs>
  <cellStyles count="2">
    <cellStyle name="Hyperlink" xfId="1" builtinId="8"/>
    <cellStyle name="Normal" xfId="0" builtinId="0"/>
  </cellStyles>
  <dxfs count="15">
    <dxf>
      <font>
        <color theme="0"/>
      </font>
      <fill>
        <patternFill patternType="solid">
          <fgColor indexed="64"/>
          <bgColor rgb="FFF5F5F5"/>
        </patternFill>
      </fill>
      <border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charset val="1"/>
        <scheme val="none"/>
      </font>
      <numFmt numFmtId="165" formatCode="[$-409]d\-mmm\-yyyy;@"/>
      <fill>
        <patternFill patternType="solid">
          <fgColor indexed="64"/>
          <bgColor rgb="FFF5F5F5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charset val="1"/>
        <scheme val="none"/>
      </font>
      <fill>
        <patternFill patternType="solid">
          <fgColor indexed="64"/>
          <bgColor rgb="FFF5F5F5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charset val="1"/>
        <scheme val="none"/>
      </font>
      <fill>
        <patternFill patternType="solid">
          <fgColor indexed="64"/>
          <bgColor rgb="FFF5F5F5"/>
        </patternFill>
      </fill>
      <alignment horizontal="general" vertical="bottom" textRotation="0" wrapText="0" indent="0" justifyLastLine="0" shrinkToFit="0" readingOrder="1"/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5F5F5"/>
        </patternFill>
      </fill>
    </dxf>
    <dxf>
      <numFmt numFmtId="164" formatCode="[$₦-470]#,##0.00;\-[$₦-470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5F5F5"/>
        </patternFill>
      </fill>
      <alignment horizontal="general" vertical="bottom" textRotation="0" wrapText="0" indent="0" justifyLastLine="0" shrinkToFit="0" readingOrder="1"/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charset val="1"/>
        <scheme val="none"/>
      </font>
      <fill>
        <patternFill patternType="solid">
          <fgColor indexed="64"/>
          <bgColor rgb="FF144572"/>
        </patternFill>
      </fill>
      <alignment horizontal="center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colors>
    <mruColors>
      <color rgb="FF144572"/>
      <color rgb="FFF5F5F5"/>
      <color rgb="FFDFF1F1"/>
      <color rgb="FF4300FF"/>
      <color rgb="FF0065F8"/>
      <color rgb="FFD5EEF5"/>
      <color rgb="FFF2FBFC"/>
      <color rgb="FFFAFAF1"/>
      <color rgb="FFEFFABE"/>
      <color rgb="FFFFE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1228725</xdr:colOff>
      <xdr:row>1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9237C7-0AAB-6B95-7A12-CE586002C198}"/>
            </a:ext>
            <a:ext uri="{147F2762-F138-4A5C-976F-8EAC2B608ADB}">
              <a16:predDERef xmlns:a16="http://schemas.microsoft.com/office/drawing/2014/main" pred="{CF66B73B-242A-A6E6-7C24-B3755F4A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90500"/>
          <a:ext cx="1171575" cy="4953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onard Mbibi" id="{32788DE4-B660-4693-AC8A-21FDCCBD6781}" userId="S::leonard.mbibi@gregobyte.com::02c0729d-909c-4f02-970f-b0082d86fea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748B29-1419-4A8B-82C8-2906DFB1F144}" name="InvoiceTable" displayName="InvoiceTable" ref="A14:E20" totalsRowShown="0" headerRowDxfId="14" headerRowBorderDxfId="12" tableBorderDxfId="13" totalsRowBorderDxfId="11">
  <autoFilter ref="A14:E20" xr:uid="{CB748B29-1419-4A8B-82C8-2906DFB1F14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1153E67-A599-481B-989A-640DBFBF13E7}" name="DESCRIPTION" dataDxfId="10"/>
    <tableColumn id="3" xr3:uid="{34C67147-7257-4813-96E5-20414C9CAF9F}" name="QTY"/>
    <tableColumn id="4" xr3:uid="{59B8787E-3DFF-40C8-B927-274232A13C61}" name="UNIT PRICE"/>
    <tableColumn id="5" xr3:uid="{5E1B32BD-13E3-4DFA-AF31-2B1EA87F074E}" name="AMOUNT" dataDxfId="9">
      <calculatedColumnFormula>IF(OR(InvoiceTable[[#This Row],[UNIT PRICE]]="", InvoiceTable[[#This Row],[DESCRIPTION]]=""), "", IF(InvoiceTable[[#This Row],[QTY]]="", InvoiceTable[[#This Row],[UNIT PRICE]], InvoiceTable[[#This Row],[QTY]]*InvoiceTable[[#This Row],[UNIT PRICE]]))</calculatedColumnFormula>
    </tableColumn>
    <tableColumn id="2" xr3:uid="{C3592BDE-6C53-451A-9DDD-C87FF4C5589F}" name="Row_ID" dataDxfId="8">
      <calculatedColumnFormula>ROW() - ROW(InvoiceTable[[#Headers],[Row_ID]])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8D22E-B88A-42FA-BCA6-0ADB538DF19F}" name="InvoiceNumberTable" displayName="InvoiceNumberTable" ref="A7:H8" totalsRowShown="0" headerRowBorderDxfId="6" tableBorderDxfId="7" totalsRowBorderDxfId="5">
  <autoFilter ref="A7:H8" xr:uid="{EEC8D22E-B88A-42FA-BCA6-0ADB538DF1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4E30872-04A8-4BF4-9D71-76FEC2FAAB2E}" name="BILL_T0" dataDxfId="4"/>
    <tableColumn id="2" xr3:uid="{4977195D-75B6-4433-A4A8-1F9A9F32B3D2}" name="Bill_No" dataDxfId="3"/>
    <tableColumn id="3" xr3:uid="{7845B608-7FC8-4FE3-BB5D-9E412DBBF56B}" name="INVOICE_No" dataDxfId="2"/>
    <tableColumn id="4" xr3:uid="{020B97B7-DF5A-4EF1-A047-CE42ED007090}" name="DATE" dataDxfId="1">
      <calculatedColumnFormula>TODAY()</calculatedColumnFormula>
    </tableColumn>
    <tableColumn id="5" xr3:uid="{F847AC23-4D8D-4B7A-AE33-5F496312EAA1}" name="Row_ID" dataDxfId="0"/>
    <tableColumn id="6" xr3:uid="{27F3F0F8-987B-4B04-B7E7-6263087FC14B}" name="AddressLine1"/>
    <tableColumn id="7" xr3:uid="{5579A75A-422C-449B-8425-61A1BAA57925}" name="AddressLine2"/>
    <tableColumn id="8" xr3:uid="{2AAC3AFA-7A23-4B60-9DF2-DCF9ADF5A78F}" name="AddressLine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1" dT="2026-08-12T14:00:18.67" personId="{32788DE4-B660-4693-AC8A-21FDCCBD6781}" id="{74B194F1-706C-4D16-B8CF-841F3FE0ACD5}">
    <text>This formula can also be used here:
=IF(SUM(InvoiceTable[AMOUNT])=0, "", SUM(InvoiceTable[AMOUNT]))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showGridLines="0" tabSelected="1" topLeftCell="A4" workbookViewId="0">
      <selection activeCell="E8" activeCellId="1" sqref="E7 E8"/>
    </sheetView>
  </sheetViews>
  <sheetFormatPr defaultRowHeight="15"/>
  <cols>
    <col min="1" max="1" width="28.28515625" customWidth="1"/>
    <col min="2" max="2" width="9" customWidth="1"/>
    <col min="3" max="3" width="14.140625" customWidth="1"/>
    <col min="4" max="4" width="27" customWidth="1"/>
    <col min="5" max="5" width="7.140625" customWidth="1"/>
    <col min="6" max="8" width="0" hidden="1" customWidth="1"/>
  </cols>
  <sheetData>
    <row r="2" spans="1:8" ht="48" customHeight="1">
      <c r="A2" s="24"/>
      <c r="B2" s="9"/>
      <c r="C2" s="37" t="s">
        <v>0</v>
      </c>
      <c r="D2" s="37"/>
      <c r="E2" s="21"/>
    </row>
    <row r="3" spans="1:8">
      <c r="A3" s="10" t="s">
        <v>1</v>
      </c>
      <c r="B3" s="36"/>
      <c r="C3" s="36"/>
      <c r="D3" s="1"/>
      <c r="E3" s="18"/>
    </row>
    <row r="4" spans="1:8">
      <c r="A4" s="10" t="s">
        <v>2</v>
      </c>
      <c r="B4" s="36"/>
      <c r="C4" s="36"/>
      <c r="D4" s="1"/>
      <c r="E4" s="18"/>
    </row>
    <row r="5" spans="1:8">
      <c r="A5" s="10" t="s">
        <v>3</v>
      </c>
      <c r="B5" s="1"/>
      <c r="C5" s="1"/>
      <c r="D5" s="1"/>
      <c r="E5" s="18"/>
    </row>
    <row r="6" spans="1:8">
      <c r="A6" s="11"/>
      <c r="B6" s="1"/>
      <c r="C6" s="1"/>
      <c r="D6" s="29"/>
      <c r="E6" s="18"/>
    </row>
    <row r="7" spans="1:8">
      <c r="A7" s="12" t="s">
        <v>4</v>
      </c>
      <c r="B7" s="2" t="s">
        <v>5</v>
      </c>
      <c r="C7" s="2" t="s">
        <v>6</v>
      </c>
      <c r="D7" s="2" t="s">
        <v>7</v>
      </c>
      <c r="E7" s="22" t="s">
        <v>8</v>
      </c>
      <c r="F7" s="30" t="s">
        <v>9</v>
      </c>
      <c r="G7" s="31" t="s">
        <v>10</v>
      </c>
      <c r="H7" s="30" t="s">
        <v>11</v>
      </c>
    </row>
    <row r="8" spans="1:8">
      <c r="A8" s="25" t="s">
        <v>12</v>
      </c>
      <c r="B8" s="28">
        <v>1050</v>
      </c>
      <c r="C8" s="26" t="s">
        <v>13</v>
      </c>
      <c r="D8" s="27">
        <f ca="1">TODAY()</f>
        <v>46249</v>
      </c>
      <c r="E8" s="33">
        <v>1</v>
      </c>
      <c r="F8" t="s">
        <v>14</v>
      </c>
      <c r="G8" t="s">
        <v>15</v>
      </c>
    </row>
    <row r="9" spans="1:8">
      <c r="A9" s="13" t="str" cm="1">
        <f t="array" ref="A9">IF(InvoiceNumberTable[AddressLine1] = "", "", InvoiceNumberTable[AddressLine1])</f>
        <v>12 Ugbana Lane</v>
      </c>
      <c r="B9" s="36"/>
      <c r="C9" s="36"/>
      <c r="D9" s="1"/>
      <c r="E9" s="18"/>
    </row>
    <row r="10" spans="1:8">
      <c r="A10" s="13" t="str" cm="1">
        <f t="array" ref="A10">IF(InvoiceNumberTable[AddressLine2] = "", "", InvoiceNumberTable[AddressLine2])</f>
        <v>Aba, Abia State</v>
      </c>
      <c r="B10" s="1"/>
      <c r="C10" s="2"/>
      <c r="D10" s="2" t="s">
        <v>16</v>
      </c>
      <c r="E10" s="23"/>
    </row>
    <row r="11" spans="1:8">
      <c r="A11" s="13" t="str" cm="1">
        <f t="array" ref="A11">IF(InvoiceNumberTable[AddressLine3] = "", "", InvoiceNumberTable[AddressLine3])</f>
        <v/>
      </c>
      <c r="B11" s="1"/>
      <c r="C11" s="40" t="s">
        <v>17</v>
      </c>
      <c r="D11" s="40"/>
      <c r="E11" s="18"/>
    </row>
    <row r="12" spans="1:8">
      <c r="A12" s="14"/>
      <c r="B12" s="1"/>
      <c r="C12" s="40" t="s">
        <v>18</v>
      </c>
      <c r="D12" s="40"/>
      <c r="E12" s="18"/>
    </row>
    <row r="13" spans="1:8">
      <c r="A13" s="11"/>
      <c r="B13" s="36"/>
      <c r="C13" s="36"/>
      <c r="D13" s="1"/>
      <c r="E13" s="18"/>
    </row>
    <row r="14" spans="1:8">
      <c r="A14" s="12" t="s">
        <v>19</v>
      </c>
      <c r="B14" s="2" t="s">
        <v>20</v>
      </c>
      <c r="C14" s="2" t="s">
        <v>21</v>
      </c>
      <c r="D14" s="2" t="s">
        <v>22</v>
      </c>
      <c r="E14" s="22" t="s">
        <v>8</v>
      </c>
    </row>
    <row r="15" spans="1:8">
      <c r="A15" s="13" t="s">
        <v>23</v>
      </c>
      <c r="B15" s="5">
        <v>2</v>
      </c>
      <c r="C15" s="3">
        <v>1700378</v>
      </c>
      <c r="D15" s="3">
        <f>IF(OR(InvoiceTable[[#This Row],[UNIT PRICE]]="", InvoiceTable[[#This Row],[DESCRIPTION]]=""), "", IF(InvoiceTable[[#This Row],[QTY]]="", InvoiceTable[[#This Row],[UNIT PRICE]], InvoiceTable[[#This Row],[QTY]]*InvoiceTable[[#This Row],[UNIT PRICE]]))</f>
        <v>3400756</v>
      </c>
      <c r="E15" s="20">
        <v>1</v>
      </c>
    </row>
    <row r="16" spans="1:8">
      <c r="A16" s="13" t="s">
        <v>24</v>
      </c>
      <c r="B16" s="5">
        <v>3</v>
      </c>
      <c r="C16" s="3">
        <v>50000</v>
      </c>
      <c r="D16" s="3">
        <f>IF(OR(InvoiceTable[[#This Row],[UNIT PRICE]]="", InvoiceTable[[#This Row],[DESCRIPTION]]=""), "", IF(InvoiceTable[[#This Row],[QTY]]="", InvoiceTable[[#This Row],[UNIT PRICE]], InvoiceTable[[#This Row],[QTY]]*InvoiceTable[[#This Row],[UNIT PRICE]]))</f>
        <v>150000</v>
      </c>
      <c r="E16" s="20">
        <v>2</v>
      </c>
    </row>
    <row r="17" spans="1:5">
      <c r="A17" s="13"/>
      <c r="B17" s="1"/>
      <c r="C17" s="3"/>
      <c r="D17" s="3" t="str">
        <f>IF(OR(InvoiceTable[[#This Row],[UNIT PRICE]]="", InvoiceTable[[#This Row],[DESCRIPTION]]=""), "", IF(InvoiceTable[[#This Row],[QTY]]="", InvoiceTable[[#This Row],[UNIT PRICE]], InvoiceTable[[#This Row],[QTY]]*InvoiceTable[[#This Row],[UNIT PRICE]]))</f>
        <v/>
      </c>
      <c r="E17" s="20">
        <v>3</v>
      </c>
    </row>
    <row r="18" spans="1:5">
      <c r="A18" s="11"/>
      <c r="B18" s="1"/>
      <c r="C18" s="3"/>
      <c r="D18" s="3" t="str">
        <f>IF(OR(InvoiceTable[[#This Row],[UNIT PRICE]]="", InvoiceTable[[#This Row],[DESCRIPTION]]=""), "", IF(InvoiceTable[[#This Row],[QTY]]="", InvoiceTable[[#This Row],[UNIT PRICE]], InvoiceTable[[#This Row],[QTY]]*InvoiceTable[[#This Row],[UNIT PRICE]]))</f>
        <v/>
      </c>
      <c r="E18" s="20">
        <v>4</v>
      </c>
    </row>
    <row r="19" spans="1:5">
      <c r="A19" s="11"/>
      <c r="B19" s="1"/>
      <c r="C19" s="6"/>
      <c r="D19" s="3" t="str">
        <f>IF(OR(InvoiceTable[[#This Row],[UNIT PRICE]]="", InvoiceTable[[#This Row],[DESCRIPTION]]=""), "", IF(InvoiceTable[[#This Row],[QTY]]="", InvoiceTable[[#This Row],[UNIT PRICE]], InvoiceTable[[#This Row],[QTY]]*InvoiceTable[[#This Row],[UNIT PRICE]]))</f>
        <v/>
      </c>
      <c r="E19" s="20">
        <v>5</v>
      </c>
    </row>
    <row r="20" spans="1:5">
      <c r="A20" s="11"/>
      <c r="B20" s="1"/>
      <c r="C20" s="6"/>
      <c r="D20" s="3" t="str">
        <f>IF(OR(InvoiceTable[[#This Row],[UNIT PRICE]]="", InvoiceTable[[#This Row],[DESCRIPTION]]=""), "", IF(InvoiceTable[[#This Row],[QTY]]="", InvoiceTable[[#This Row],[UNIT PRICE]], InvoiceTable[[#This Row],[QTY]]*InvoiceTable[[#This Row],[UNIT PRICE]]))</f>
        <v/>
      </c>
      <c r="E20" s="20">
        <v>6</v>
      </c>
    </row>
    <row r="21" spans="1:5">
      <c r="A21" s="15" t="s">
        <v>25</v>
      </c>
      <c r="B21" s="5" t="s">
        <v>26</v>
      </c>
      <c r="C21" s="5"/>
      <c r="D21" s="3">
        <f>IF(INDEX(InvoiceTable[AMOUNT], 1)="", "", SUM(InvoiceTable[AMOUNT]))</f>
        <v>3550756</v>
      </c>
      <c r="E21" s="18"/>
    </row>
    <row r="22" spans="1:5">
      <c r="A22" s="11"/>
      <c r="B22" s="5" t="s">
        <v>27</v>
      </c>
      <c r="C22" s="5"/>
      <c r="D22" s="4">
        <v>7.0000000000000007E-2</v>
      </c>
      <c r="E22" s="18"/>
    </row>
    <row r="23" spans="1:5">
      <c r="A23" s="11"/>
      <c r="B23" s="5" t="s">
        <v>28</v>
      </c>
      <c r="C23" s="5"/>
      <c r="D23" s="3">
        <f>IF(D21="", "", D21 * D22)</f>
        <v>248552.92</v>
      </c>
      <c r="E23" s="18"/>
    </row>
    <row r="24" spans="1:5" ht="24">
      <c r="A24" s="11"/>
      <c r="B24" s="7" t="s">
        <v>29</v>
      </c>
      <c r="C24" s="7"/>
      <c r="D24" s="32">
        <f>IF(D21 = "", "", D21+D23)</f>
        <v>3799308.92</v>
      </c>
      <c r="E24" s="8"/>
    </row>
    <row r="25" spans="1:5">
      <c r="A25" s="11"/>
      <c r="B25" s="1"/>
      <c r="C25" s="1"/>
      <c r="D25" s="1"/>
      <c r="E25" s="18"/>
    </row>
    <row r="26" spans="1:5">
      <c r="A26" s="11"/>
      <c r="B26" s="1"/>
      <c r="C26" s="1"/>
      <c r="D26" s="1"/>
      <c r="E26" s="18"/>
    </row>
    <row r="27" spans="1:5">
      <c r="A27" s="38" t="s">
        <v>30</v>
      </c>
      <c r="B27" s="39"/>
      <c r="C27" s="39"/>
      <c r="D27" s="39"/>
      <c r="E27" s="18"/>
    </row>
    <row r="28" spans="1:5">
      <c r="A28" s="34" t="s">
        <v>31</v>
      </c>
      <c r="B28" s="35"/>
      <c r="C28" s="35"/>
      <c r="D28" s="35"/>
      <c r="E28" s="18"/>
    </row>
    <row r="29" spans="1:5">
      <c r="A29" s="16"/>
      <c r="B29" s="17"/>
      <c r="C29" s="17"/>
      <c r="D29" s="17"/>
      <c r="E29" s="19"/>
    </row>
  </sheetData>
  <sheetProtection formatCells="0" insertRows="0" autoFilter="0"/>
  <protectedRanges>
    <protectedRange sqref="A15:C20" name="UserInput"/>
  </protectedRanges>
  <mergeCells count="9">
    <mergeCell ref="A28:D28"/>
    <mergeCell ref="B13:C13"/>
    <mergeCell ref="C2:D2"/>
    <mergeCell ref="B3:C3"/>
    <mergeCell ref="B4:C4"/>
    <mergeCell ref="B9:C9"/>
    <mergeCell ref="A27:D27"/>
    <mergeCell ref="C11:D11"/>
    <mergeCell ref="C12:D12"/>
  </mergeCells>
  <pageMargins left="0.7" right="0.7" top="0.75" bottom="0.75" header="0.3" footer="0.3"/>
  <drawing r:id="rId1"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1BFF-B00E-4339-8BC7-54918FA2D572}">
  <dimension ref="A1"/>
  <sheetViews>
    <sheetView workbookViewId="0">
      <selection activeCell="E2" sqref="E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2026-07-04T14:52:50Z</dcterms:created>
  <dcterms:modified xsi:type="dcterms:W3CDTF">2026-08-15T11:56:35Z</dcterms:modified>
  <cp:category/>
  <cp:contentStatus/>
</cp:coreProperties>
</file>
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lcim\Documents\"/>
    </mc:Choice>
  </mc:AlternateContent>
  <xr:revisionPtr revIDLastSave="0" documentId="8_{75EE1D08-E11B-4C72-99F7-8055084E08EE}" xr6:coauthVersionLast="47" xr6:coauthVersionMax="47" xr10:uidLastSave="{00000000-0000-0000-0000-000000000000}"/>
  <bookViews>
    <workbookView xWindow="-110" yWindow="-110" windowWidth="19420" windowHeight="11020" xr2:uid="{C99A092A-B441-48D6-AE9F-9C74564E313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I6" i="1"/>
  <c r="G5" i="1"/>
  <c r="I5" i="1"/>
  <c r="G4" i="1"/>
  <c r="I4" i="1"/>
  <c r="G3" i="1"/>
  <c r="G2" i="1"/>
  <c r="J2" i="1"/>
  <c r="I2" i="1"/>
  <c r="J6" i="1"/>
  <c r="H4" i="1"/>
  <c r="J5" i="1"/>
  <c r="J4" i="1"/>
  <c r="H2" i="1"/>
  <c r="H6" i="1"/>
  <c r="H5" i="1"/>
  <c r="J3" i="1" l="1"/>
  <c r="I3" i="1"/>
  <c r="H3" i="1"/>
</calcChain>
</file>

<file path=xl/sharedStrings.xml><?xml version="1.0" encoding="utf-8"?>
<sst xmlns="http://schemas.openxmlformats.org/spreadsheetml/2006/main" count="61" uniqueCount="48">
  <si>
    <t>Client</t>
  </si>
  <si>
    <t>Service</t>
  </si>
  <si>
    <t>Cost</t>
  </si>
  <si>
    <t>Billing</t>
  </si>
  <si>
    <t>LastPaid</t>
  </si>
  <si>
    <t>ActiveStatus</t>
  </si>
  <si>
    <t>NextRenewal</t>
  </si>
  <si>
    <t>Alert</t>
  </si>
  <si>
    <t>Remarks</t>
  </si>
  <si>
    <t>EmailDeterminant</t>
  </si>
  <si>
    <t>Emails</t>
  </si>
  <si>
    <t>In_copy</t>
  </si>
  <si>
    <t>AddressLine1</t>
  </si>
  <si>
    <t>AddressLine2</t>
  </si>
  <si>
    <t>AddressLine3</t>
  </si>
  <si>
    <t>QTY</t>
  </si>
  <si>
    <t>Discount</t>
  </si>
  <si>
    <t>FDL</t>
  </si>
  <si>
    <t>M365 Subscription</t>
  </si>
  <si>
    <t>Annually</t>
  </si>
  <si>
    <t>Yes</t>
  </si>
  <si>
    <t>ictsolutionsforeveryone@gmail.com</t>
  </si>
  <si>
    <t>favoradi@yahoo.com;leonard.mbibi@gregobyte.com</t>
  </si>
  <si>
    <t>123 Aba Owerri Road</t>
  </si>
  <si>
    <t>Aba, Abia State</t>
  </si>
  <si>
    <t>GTL</t>
  </si>
  <si>
    <t>BitDefender Subscription</t>
  </si>
  <si>
    <t>Monthly</t>
  </si>
  <si>
    <t>No</t>
  </si>
  <si>
    <t>l.cim@outlook.com</t>
  </si>
  <si>
    <t>leonard.mbibi@gregobyte.com</t>
  </si>
  <si>
    <t>76 Ndiukwu Street</t>
  </si>
  <si>
    <t>By NHS Junction, Near PADESCO, Arondizuogu</t>
  </si>
  <si>
    <t>Imo State</t>
  </si>
  <si>
    <t>Internet Service Subscription</t>
  </si>
  <si>
    <t>lcim1104@gmail.com</t>
  </si>
  <si>
    <t>12 Ugbana Lane</t>
  </si>
  <si>
    <t>Off Ukpor Lane</t>
  </si>
  <si>
    <t>Umuoji, Anambra State</t>
  </si>
  <si>
    <t>GPPS</t>
  </si>
  <si>
    <t>IT Support Contract</t>
  </si>
  <si>
    <t>Quarterly</t>
  </si>
  <si>
    <t>5 Amichi Crescent, Near ZOE Ministries,</t>
  </si>
  <si>
    <t>Off ESBS Bust Stop</t>
  </si>
  <si>
    <t>Ind. Layout, Enugu</t>
  </si>
  <si>
    <t>SOBAZ</t>
  </si>
  <si>
    <t>102 Oderigwugwu Street, Near Nkwo Achi,</t>
  </si>
  <si>
    <t>Ndiakeme, Arondizuogu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</si>
</sst>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165" fontId="0" fillId="0" borderId="0" xfId="1" applyNumberFormat="1" applyFont="1" applyAlignment="1">
      <alignment vertical="center"/>
    </xf>
    <xf numFmtId="15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2" applyAlignment="1">
      <alignment wrapText="1"/>
    </xf>
    <xf numFmtId="0" fontId="2" fillId="0" borderId="0" xfId="2" applyAlignment="1">
      <alignment vertical="center"/>
    </xf>
    <xf numFmtId="1" fontId="0" fillId="0" borderId="0" xfId="0" applyNumberFormat="1" applyAlignment="1">
      <alignment horizontal="center" vertical="center"/>
    </xf>
    <xf numFmtId="0" fontId="3" fillId="0" borderId="0" xfId="0" applyFont="1"/>
    <xf numFmtId="15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20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general" vertical="center" textRotation="0" wrapText="1" indent="0" justifyLastLine="0" shrinkToFit="0" readingOrder="0"/>
    </dxf>
    <dxf>
      <numFmt numFmtId="166" formatCode="dd\-mmm\-yy"/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d\-mmm\-yy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165" formatCode="_-* #,##0_-;\-* #,##0_-;_-* &quot;-&quot;??_-;_-@_-"/>
      <alignment vertical="center" textRotation="0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 patternType="solid">
          <bgColor rgb="FFC00000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228600</xdr:colOff>
      <xdr:row>6</xdr:row>
      <xdr:rowOff>85725</xdr:rowOff>
    </xdr:from>
    <xdr:to>
      <xdr:col>11</xdr:col>
      <xdr:colOff>1028700</xdr:colOff>
      <xdr:row>9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37C651-EDE7-F9E8-DF84-55315E6EC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0" y="2828925"/>
          <a:ext cx="1647825" cy="7048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646ED-C430-4BD8-8419-D5D2B8044C1B}" name="Table1" displayName="Table1" ref="A1:Q6" totalsRowShown="0" headerRowDxfId="17">
  <autoFilter ref="A1:Q6" xr:uid="{3CE646ED-C430-4BD8-8419-D5D2B8044C1B}"/>
  <tableColumns count="17">
    <tableColumn id="1" xr3:uid="{C3EC2CF2-5208-4763-8E7B-6352BBA4F583}" name="Client" dataDxfId="16"/>
    <tableColumn id="2" xr3:uid="{BBFF85DA-5672-40D0-91ED-36AEE426DBB1}" name="Service" dataDxfId="15"/>
    <tableColumn id="3" xr3:uid="{3A6211B1-7E6A-49CD-8AE5-BE94582514FE}" name="Cost" dataDxfId="14" dataCellStyle="Comma"/>
    <tableColumn id="4" xr3:uid="{52BDCDB7-8AB8-4548-9711-F5BBDBFACC8B}" name="Billing" dataDxfId="13"/>
    <tableColumn id="5" xr3:uid="{1A409EFE-6E40-45AB-BDF1-017832EC62BE}" name="LastPaid" dataDxfId="12"/>
    <tableColumn id="6" xr3:uid="{29D114DB-9AF3-4159-9962-1E46EE3073E2}" name="ActiveStatus" dataDxfId="11"/>
    <tableColumn id="7" xr3:uid="{422E9FCE-0ED0-4811-89CB-34C0ED3F0BA1}" name="NextRenewal" dataDxfId="10">
      <calculatedColumnFormula>IF(Table1[[#This Row],[ActiveStatus]]="No", "inactive", EDATE(Table1[[#This Row],[LastPaid]], IF(Table1[[#This Row],[Billing]]="Monthly", 1, IF(Table1[[#This Row],[Billing]]="Quarterly", 3, 12))))</calculatedColumnFormula>
    </tableColumn>
    <tableColumn id="8" xr3:uid="{EDDBECA9-45F3-4603-8801-6BA309245334}" name="Alert" dataDxfId="9">
      <calculatedColumnFormula>IF(Table1[[#This Row],[ActiveStatus]] = "No", "Inactive", IF(Table1[[#This Row],[NextRenewal]] - TODAY() &lt;= 3, "Act now - Invoice due", IF(Table1[[#This Row],[NextRenewal]] - TODAY() &lt;= 7, "Invoice is fast approaching", "No action needed")))</calculatedColumnFormula>
    </tableColumn>
    <tableColumn id="9" xr3:uid="{48232A19-6BF8-409A-B1EF-BBBC97ACB2CB}" name="Remarks" dataDxfId="8">
      <calculatedColumnFormula>IF(Table1[[#This Row],[ActiveStatus]]  = "No", "Bill canceled", IF((Table1[[#This Row],[NextRenewal]] - TODAY()) &lt; 0, ABS(Table1[[#This Row],[NextRenewal]] - TODAY()) &amp; IF(ABS(Table1[[#This Row],[NextRenewal]] - TODAY()) = 1, " day", " days") &amp; " overdue", Table1[[#This Row],[NextRenewal]] - TODAY() &amp; IF(Table1[[#This Row],[NextRenewal]] - TODAY() = 1, " day", " days") &amp; " left"))</calculatedColumnFormula>
    </tableColumn>
    <tableColumn id="10" xr3:uid="{35DD18F2-F542-4DC0-8F87-3915BF6652B6}" name="EmailDeterminant" dataDxfId="7">
      <calculatedColumnFormula>INT(IF(Table1[[#This Row],[ActiveStatus]] = "No", -1000, Table1[[#This Row],[NextRenewal]] - TODAY()))</calculatedColumnFormula>
    </tableColumn>
    <tableColumn id="11" xr3:uid="{6920BFC4-1208-4833-8A3B-10DC32045769}" name="Emails" dataDxfId="6"/>
    <tableColumn id="12" xr3:uid="{3FA09B4F-B72C-4159-8940-D69A6F2E3C5C}" name="In_copy" dataDxfId="5"/>
    <tableColumn id="13" xr3:uid="{07BE456D-268D-4885-BD6A-C74834D63905}" name="AddressLine1" dataDxfId="4"/>
    <tableColumn id="14" xr3:uid="{A06F4AEC-DE77-4CFB-932E-B07264F9CE5C}" name="AddressLine2" dataDxfId="3"/>
    <tableColumn id="15" xr3:uid="{83745DDD-CE74-439B-891B-92FD1281FDB5}" name="AddressLine3" dataDxfId="2"/>
    <tableColumn id="16" xr3:uid="{3B49A428-D6B6-4433-A938-8ACFE7B879CE}" name="QTY" dataDxfId="1"/>
    <tableColumn id="17" xr3:uid="{E7651678-C5C8-4DC4-9A84-7E4ECE910D1F}" name="Dis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ictsolutionsforeveryone@gmail.com" TargetMode="External"/><Relationship Id="rId7" Type="http://schemas.openxmlformats.org/officeDocument/2006/relationships/hyperlink" Target="mailto:lcim1104@gmail.com" TargetMode="External"/><Relationship Id="rId2" Type="http://schemas.openxmlformats.org/officeDocument/2006/relationships/hyperlink" Target="mailto:l.cim@outlook.com" TargetMode="External"/><Relationship Id="rId1" Type="http://schemas.openxmlformats.org/officeDocument/2006/relationships/hyperlink" Target="mailto:ictsolutionsforeveryone@gmail.com" TargetMode="External"/><Relationship Id="rId6" Type="http://schemas.openxmlformats.org/officeDocument/2006/relationships/hyperlink" Target="mailto:favoradi@yahoo.com;leonard.mbibi@gregobyte.com" TargetMode="External"/><Relationship Id="rId5" Type="http://schemas.openxmlformats.org/officeDocument/2006/relationships/hyperlink" Target="mailto:l.cim@outlook.com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lcim1104@gmail.com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DBF1-18D1-4EC5-8B39-C7777102D902}">
  <dimension ref="A1:Q8"/>
  <sheetViews>
    <sheetView tabSelected="1" workbookViewId="0">
      <selection activeCell="E3" sqref="E3"/>
    </sheetView>
  </sheetViews>
  <sheetFormatPr defaultRowHeight="16.5"/>
  <cols>
    <col min="1" max="1" width="10.125" customWidth="1"/>
    <col min="2" max="2" width="11.875" customWidth="1"/>
    <col min="3" max="5" width="10.125" customWidth="1"/>
    <col min="6" max="6" width="6" customWidth="1"/>
    <col min="7" max="7" width="10.125" customWidth="1"/>
    <col min="8" max="8" width="14.375" customWidth="1"/>
    <col min="9" max="9" width="12.5" customWidth="1"/>
    <col min="10" max="11" width="11.125" customWidth="1"/>
    <col min="12" max="12" width="15.75" customWidth="1"/>
    <col min="13" max="13" width="16.25" customWidth="1"/>
    <col min="14" max="14" width="15.875" customWidth="1"/>
    <col min="15" max="15" width="16.125" customWidth="1"/>
    <col min="17" max="17" width="15.75" customWidth="1"/>
  </cols>
  <sheetData>
    <row r="1" spans="1:17" ht="3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46.5">
      <c r="A2" s="1" t="s">
        <v>17</v>
      </c>
      <c r="B2" s="7" t="s">
        <v>18</v>
      </c>
      <c r="C2" s="5">
        <v>1700378</v>
      </c>
      <c r="D2" s="4" t="s">
        <v>19</v>
      </c>
      <c r="E2" s="6">
        <v>45879</v>
      </c>
      <c r="F2" s="1" t="s">
        <v>20</v>
      </c>
      <c r="G2" s="6">
        <f>IF(Table1[[#This Row],[ActiveStatus]]="No", "inactive", EDATE(Table1[[#This Row],[LastPaid]], IF(Table1[[#This Row],[Billing]]="Monthly", 1, IF(Table1[[#This Row],[Billing]]="Quarterly", 3, 12))))</f>
        <v>46244</v>
      </c>
      <c r="H2" s="7" t="str">
        <f ca="1">IF(Table1[[#This Row],[ActiveStatus]] = "No", "Inactive", IF(Table1[[#This Row],[NextRenewal]] - TODAY() &lt;= 3, "Act now - Invoice due", IF(Table1[[#This Row],[NextRenewal]] - TODAY() &lt;= 7, "Invoice is fast approaching", "No action needed")))</f>
        <v>Act now - Invoice due</v>
      </c>
      <c r="I2" s="4" t="str">
        <f ca="1">IF(Table1[[#This Row],[ActiveStatus]]  = "No", "Bill canceled", IF((Table1[[#This Row],[NextRenewal]] - TODAY()) &lt; 0, ABS(Table1[[#This Row],[NextRenewal]] - TODAY()) &amp; IF(ABS(Table1[[#This Row],[NextRenewal]] - TODAY()) = 1, " day", " days") &amp; " overdue", Table1[[#This Row],[NextRenewal]] - TODAY() &amp; IF(Table1[[#This Row],[NextRenewal]] - TODAY() = 1, " day", " days") &amp; " left"))</f>
        <v>5 days overdue</v>
      </c>
      <c r="J2" s="10">
        <f ca="1">INT(IF(Table1[[#This Row],[ActiveStatus]] = "No", -1000, Table1[[#This Row],[NextRenewal]] - TODAY()))</f>
        <v>-5</v>
      </c>
      <c r="K2" s="9" t="s">
        <v>21</v>
      </c>
      <c r="L2" s="8" t="s">
        <v>22</v>
      </c>
      <c r="M2" s="4" t="s">
        <v>23</v>
      </c>
      <c r="N2" s="4" t="s">
        <v>24</v>
      </c>
      <c r="O2" s="4"/>
      <c r="P2" s="4">
        <v>2</v>
      </c>
      <c r="Q2" s="13">
        <v>100000</v>
      </c>
    </row>
    <row r="3" spans="1:17" ht="30.75">
      <c r="A3" s="1" t="s">
        <v>25</v>
      </c>
      <c r="B3" s="7" t="s">
        <v>26</v>
      </c>
      <c r="C3" s="5">
        <v>128500</v>
      </c>
      <c r="D3" s="4" t="s">
        <v>27</v>
      </c>
      <c r="E3" s="6">
        <v>46188</v>
      </c>
      <c r="F3" s="1" t="s">
        <v>28</v>
      </c>
      <c r="G3" s="6" t="str">
        <f>IF(Table1[[#This Row],[ActiveStatus]]="No", "inactive", EDATE(Table1[[#This Row],[LastPaid]], IF(Table1[[#This Row],[Billing]]="Monthly", 1, IF(Table1[[#This Row],[Billing]]="Quarterly", 3, 12))))</f>
        <v>inactive</v>
      </c>
      <c r="H3" s="7" t="str">
        <f ca="1">IF(Table1[[#This Row],[ActiveStatus]] = "No", "Inactive", IF(Table1[[#This Row],[NextRenewal]] - TODAY() &lt;= 3, "Act now - Invoice due", IF(Table1[[#This Row],[NextRenewal]] - TODAY() &lt;= 7, "Invoice is fast approaching", "No action needed")))</f>
        <v>Inactive</v>
      </c>
      <c r="I3" s="4" t="str">
        <f ca="1">IF(Table1[[#This Row],[ActiveStatus]]  = "No", "Bill canceled", IF((Table1[[#This Row],[NextRenewal]] - TODAY()) &lt; 0, ABS(Table1[[#This Row],[NextRenewal]] - TODAY()) &amp; IF(ABS(Table1[[#This Row],[NextRenewal]] - TODAY()) = 1, " day", " days") &amp; " overdue", Table1[[#This Row],[NextRenewal]] - TODAY() &amp; IF(Table1[[#This Row],[NextRenewal]] - TODAY() = 1, " day", " days") &amp; " left"))</f>
        <v>Bill canceled</v>
      </c>
      <c r="J3" s="10">
        <f ca="1">INT(IF(Table1[[#This Row],[ActiveStatus]] = "No", -1000, Table1[[#This Row],[NextRenewal]] - TODAY()))</f>
        <v>-1000</v>
      </c>
      <c r="K3" s="9" t="s">
        <v>29</v>
      </c>
      <c r="L3" s="3" t="s">
        <v>30</v>
      </c>
      <c r="M3" s="14" t="s">
        <v>31</v>
      </c>
      <c r="N3" s="4" t="s">
        <v>32</v>
      </c>
      <c r="O3" s="4" t="s">
        <v>33</v>
      </c>
      <c r="P3" s="4">
        <v>1</v>
      </c>
      <c r="Q3" s="4"/>
    </row>
    <row r="4" spans="1:17" ht="46.5">
      <c r="A4" s="1" t="s">
        <v>17</v>
      </c>
      <c r="B4" s="7" t="s">
        <v>34</v>
      </c>
      <c r="C4" s="5">
        <v>50000</v>
      </c>
      <c r="D4" s="4" t="s">
        <v>27</v>
      </c>
      <c r="E4" s="6">
        <v>46216</v>
      </c>
      <c r="F4" s="1" t="s">
        <v>20</v>
      </c>
      <c r="G4" s="6">
        <f>IF(Table1[[#This Row],[ActiveStatus]]="No", "inactive", EDATE(Table1[[#This Row],[LastPaid]], IF(Table1[[#This Row],[Billing]]="Monthly", 1, IF(Table1[[#This Row],[Billing]]="Quarterly", 3, 12))))</f>
        <v>46247</v>
      </c>
      <c r="H4" s="7" t="str">
        <f ca="1">IF(Table1[[#This Row],[ActiveStatus]] = "No", "Inactive", IF(Table1[[#This Row],[NextRenewal]] - TODAY() &lt;= 3, "Act now - Invoice due", IF(Table1[[#This Row],[NextRenewal]] - TODAY() &lt;= 7, "Invoice is fast approaching", "No action needed")))</f>
        <v>Act now - Invoice due</v>
      </c>
      <c r="I4" s="4" t="str">
        <f ca="1">IF(Table1[[#This Row],[ActiveStatus]]  = "No", "Bill canceled", IF((Table1[[#This Row],[NextRenewal]] - TODAY()) &lt; 0, ABS(Table1[[#This Row],[NextRenewal]] - TODAY()) &amp; IF(ABS(Table1[[#This Row],[NextRenewal]] - TODAY()) = 1, " day", " days") &amp; " overdue", Table1[[#This Row],[NextRenewal]] - TODAY() &amp; IF(Table1[[#This Row],[NextRenewal]] - TODAY() = 1, " day", " days") &amp; " left"))</f>
        <v>2 days overdue</v>
      </c>
      <c r="J4" s="10">
        <f ca="1">INT(IF(Table1[[#This Row],[ActiveStatus]] = "No", -1000, Table1[[#This Row],[NextRenewal]] - TODAY()))</f>
        <v>-2</v>
      </c>
      <c r="K4" s="9" t="s">
        <v>21</v>
      </c>
      <c r="L4" s="8" t="s">
        <v>35</v>
      </c>
      <c r="M4" s="4" t="s">
        <v>36</v>
      </c>
      <c r="N4" s="4" t="s">
        <v>37</v>
      </c>
      <c r="O4" s="4" t="s">
        <v>38</v>
      </c>
      <c r="P4" s="4">
        <v>3</v>
      </c>
      <c r="Q4" s="4"/>
    </row>
    <row r="5" spans="1:17" ht="30.75">
      <c r="A5" s="1" t="s">
        <v>39</v>
      </c>
      <c r="B5" s="7" t="s">
        <v>40</v>
      </c>
      <c r="C5" s="5">
        <v>2000000</v>
      </c>
      <c r="D5" s="4" t="s">
        <v>41</v>
      </c>
      <c r="E5" s="6">
        <v>46254</v>
      </c>
      <c r="F5" s="1" t="s">
        <v>20</v>
      </c>
      <c r="G5" s="6">
        <f>IF(Table1[[#This Row],[ActiveStatus]]="No", "inactive", EDATE(Table1[[#This Row],[LastPaid]], IF(Table1[[#This Row],[Billing]]="Monthly", 1, IF(Table1[[#This Row],[Billing]]="Quarterly", 3, 12))))</f>
        <v>46346</v>
      </c>
      <c r="H5" s="7" t="str">
        <f ca="1">IF(Table1[[#This Row],[ActiveStatus]] = "No", "Inactive", IF(Table1[[#This Row],[NextRenewal]] - TODAY() &lt;= 3, "Act now - Invoice due", IF(Table1[[#This Row],[NextRenewal]] - TODAY() &lt;= 7, "Invoice is fast approaching", "No action needed")))</f>
        <v>No action needed</v>
      </c>
      <c r="I5" s="4" t="str">
        <f ca="1">IF(Table1[[#This Row],[ActiveStatus]]  = "No", "Bill canceled", IF((Table1[[#This Row],[NextRenewal]] - TODAY()) &lt; 0, ABS(Table1[[#This Row],[NextRenewal]] - TODAY()) &amp; IF(ABS(Table1[[#This Row],[NextRenewal]] - TODAY()) = 1, " day", " days") &amp; " overdue", Table1[[#This Row],[NextRenewal]] - TODAY() &amp; IF(Table1[[#This Row],[NextRenewal]] - TODAY() = 1, " day", " days") &amp; " left"))</f>
        <v>97 days left</v>
      </c>
      <c r="J5" s="10">
        <f ca="1">INT(IF(Table1[[#This Row],[ActiveStatus]] = "No", -1000, Table1[[#This Row],[NextRenewal]] - TODAY()))</f>
        <v>97</v>
      </c>
      <c r="K5" s="9" t="s">
        <v>35</v>
      </c>
      <c r="L5" s="3" t="s">
        <v>30</v>
      </c>
      <c r="M5" s="4" t="s">
        <v>42</v>
      </c>
      <c r="N5" s="4" t="s">
        <v>43</v>
      </c>
      <c r="O5" s="4" t="s">
        <v>44</v>
      </c>
      <c r="P5" s="4">
        <v>1</v>
      </c>
      <c r="Q5" s="4">
        <v>54000</v>
      </c>
    </row>
    <row r="6" spans="1:17" ht="30.75">
      <c r="A6" s="1" t="s">
        <v>45</v>
      </c>
      <c r="B6" s="7" t="s">
        <v>18</v>
      </c>
      <c r="C6" s="5">
        <v>2555000</v>
      </c>
      <c r="D6" s="4" t="s">
        <v>19</v>
      </c>
      <c r="E6" s="12">
        <v>45748</v>
      </c>
      <c r="F6" s="1" t="s">
        <v>20</v>
      </c>
      <c r="G6" s="6">
        <f>IF(Table1[[#This Row],[ActiveStatus]]="No", "inactive", EDATE(Table1[[#This Row],[LastPaid]], IF(Table1[[#This Row],[Billing]]="Monthly", 1, IF(Table1[[#This Row],[Billing]]="Quarterly", 3, 12))))</f>
        <v>46113</v>
      </c>
      <c r="H6" s="7" t="str">
        <f ca="1">IF(Table1[[#This Row],[ActiveStatus]] = "No", "Inactive", IF(Table1[[#This Row],[NextRenewal]] - TODAY() &lt;= 3, "Act now - Invoice due", IF(Table1[[#This Row],[NextRenewal]] - TODAY() &lt;= 7, "Invoice is fast approaching", "No action needed")))</f>
        <v>Act now - Invoice due</v>
      </c>
      <c r="I6" s="4" t="str">
        <f ca="1">IF(Table1[[#This Row],[ActiveStatus]]  = "No", "Bill canceled", IF((Table1[[#This Row],[NextRenewal]] - TODAY()) &lt; 0, ABS(Table1[[#This Row],[NextRenewal]] - TODAY()) &amp; IF(ABS(Table1[[#This Row],[NextRenewal]] - TODAY()) = 1, " day", " days") &amp; " overdue", Table1[[#This Row],[NextRenewal]] - TODAY() &amp; IF(Table1[[#This Row],[NextRenewal]] - TODAY() = 1, " day", " days") &amp; " left"))</f>
        <v>136 days overdue</v>
      </c>
      <c r="J6" s="10">
        <f ca="1">INT(IF(Table1[[#This Row],[ActiveStatus]] = "No", -1000, Table1[[#This Row],[NextRenewal]] - TODAY()))</f>
        <v>-136</v>
      </c>
      <c r="K6" s="9" t="s">
        <v>29</v>
      </c>
      <c r="L6" s="3" t="s">
        <v>30</v>
      </c>
      <c r="M6" s="4" t="s">
        <v>46</v>
      </c>
      <c r="N6" s="4" t="s">
        <v>47</v>
      </c>
      <c r="O6" s="4" t="s">
        <v>33</v>
      </c>
      <c r="P6" s="4">
        <v>1</v>
      </c>
      <c r="Q6" s="4"/>
    </row>
    <row r="7" spans="1:17" ht="15.75"/>
    <row r="8" spans="1:17" ht="18.75">
      <c r="H8" s="11"/>
    </row>
  </sheetData>
  <conditionalFormatting sqref="I2:I6">
    <cfRule type="expression" dxfId="19" priority="2">
      <formula>AND(J2 &gt;= 0, J2 &lt;= 3)</formula>
    </cfRule>
    <cfRule type="expression" dxfId="18" priority="3">
      <formula>J2 &lt; 0</formula>
    </cfRule>
  </conditionalFormatting>
  <dataValidations disablePrompts="1" count="1">
    <dataValidation type="list" allowBlank="1" showInputMessage="1" showErrorMessage="1" sqref="F2:F6" xr:uid="{04B69E08-39EE-4C20-8933-68E9F9403B09}">
      <formula1>"Yes,No"</formula1>
    </dataValidation>
  </dataValidations>
  <hyperlinks>
    <hyperlink ref="K2" r:id="rId1" xr:uid="{8B59598E-1B8E-4A9B-8E54-2CAB83B3A53D}"/>
    <hyperlink ref="K3" r:id="rId2" xr:uid="{57C4F60C-9A8D-41B6-BC51-A68DC0F3B040}"/>
    <hyperlink ref="K4" r:id="rId3" xr:uid="{C58032F1-C807-4B5A-A63E-E947F678AE10}"/>
    <hyperlink ref="K5" r:id="rId4" xr:uid="{EC613667-5B50-47CA-8E0F-C18BFA5936A4}"/>
    <hyperlink ref="K6" r:id="rId5" xr:uid="{BFA424DF-EB10-46D3-A977-084189059FBE}"/>
    <hyperlink ref="L2" r:id="rId6" xr:uid="{2343D3C0-14EF-4311-8447-324240640D3F}"/>
    <hyperlink ref="L4" r:id="rId7" xr:uid="{7C1405F9-098D-4670-A1F4-DEB364E599DC}"/>
  </hyperlinks>
  <pageMargins left="0.7" right="0.7" top="0.75" bottom="0.75" header="0.3" footer="0.3"/>
  <pageSetup orientation="portrait" r:id="rId8"/>
  <drawing r:id="rId9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 Mbibi</dc:creator>
  <cp:keywords/>
  <dc:description/>
  <cp:lastModifiedBy/>
  <cp:revision/>
  <dcterms:created xsi:type="dcterms:W3CDTF">2026-07-01T12:01:43Z</dcterms:created>
  <dcterms:modified xsi:type="dcterms:W3CDTF">2026-08-15T11:55:36Z</dcterms:modified>
  <cp:category/>
  <cp:contentStatus/>
</cp:coreProperties>
</file>
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lcim\Documents\"/>
    </mc:Choice>
  </mc:AlternateContent>
  <xr:revisionPtr revIDLastSave="0" documentId="8_{3EDBBEF8-9AF6-4877-AEA0-8A26361FF170}" xr6:coauthVersionLast="47" xr6:coauthVersionMax="47" xr10:uidLastSave="{00000000-0000-0000-0000-000000000000}"/>
  <bookViews>
    <workbookView xWindow="-110" yWindow="-110" windowWidth="19420" windowHeight="11020" xr2:uid="{C99A092A-B441-48D6-AE9F-9C74564E313B}"/>
  </bookViews>
  <sheets>
    <sheet name="ALTS_SINGLE_SHEET" sheetId="4" r:id="rId1"/>
    <sheet name="C_DATABASE" sheetId="1" r:id="rId2"/>
    <sheet name="INVOICE" sheetId="3" r:id="rId3"/>
    <sheet name="Sheet2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4" l="1"/>
  <c r="V2" i="4" s="1"/>
  <c r="W3" i="4"/>
  <c r="V3" i="4" s="1"/>
  <c r="W4" i="4"/>
  <c r="V4" i="4" s="1"/>
  <c r="W5" i="4"/>
  <c r="V5" i="4" s="1"/>
  <c r="W6" i="4"/>
  <c r="V6" i="4" s="1"/>
  <c r="G8" i="4"/>
  <c r="H8" i="4"/>
  <c r="I8" i="4"/>
  <c r="J8" i="4"/>
  <c r="G7" i="4"/>
  <c r="H7" i="4"/>
  <c r="I7" i="4"/>
  <c r="J7" i="4"/>
  <c r="G6" i="4"/>
  <c r="G5" i="4"/>
  <c r="G4" i="4"/>
  <c r="J3" i="4"/>
  <c r="I3" i="4"/>
  <c r="H3" i="4"/>
  <c r="G3" i="4"/>
  <c r="G2" i="4"/>
  <c r="D8" i="3"/>
  <c r="G6" i="1"/>
  <c r="I6" i="1"/>
  <c r="G5" i="1"/>
  <c r="I5" i="1"/>
  <c r="G4" i="1"/>
  <c r="I4" i="1"/>
  <c r="G3" i="1"/>
  <c r="G2" i="1"/>
  <c r="J2" i="1"/>
  <c r="I2" i="1"/>
  <c r="J6" i="1"/>
  <c r="H4" i="1"/>
  <c r="J5" i="1"/>
  <c r="J4" i="1"/>
  <c r="H2" i="1"/>
  <c r="H6" i="1"/>
  <c r="H5" i="1"/>
  <c r="J2" i="4" l="1"/>
  <c r="I2" i="4"/>
  <c r="H2" i="4"/>
  <c r="J4" i="4"/>
  <c r="I4" i="4"/>
  <c r="H4" i="4"/>
  <c r="J5" i="4"/>
  <c r="I5" i="4"/>
  <c r="H5" i="4"/>
  <c r="J6" i="4"/>
  <c r="I6" i="4"/>
  <c r="H6" i="4"/>
  <c r="D24" i="3"/>
  <c r="D23" i="3"/>
  <c r="J3" i="1"/>
  <c r="I3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tc={38B2870D-4784-48DA-8B7A-0915766CA34F}</author>
  </authors>
  <commentList>
    <comment ref="D21" authorId="0" shapeId="0" xr:uid="{38B2870D-4784-48DA-8B7A-0915766CA34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formula can also be used here:
=IF(SUM(InvoiceTable[AMOUNT])=0, "", SUM(InvoiceTable[AMOUNT]))</t>
      </text>
    </comment>
  </commentList>
</comments>
</file>

<file path=xl/sharedStrings.xml><?xml version="1.0" encoding="utf-8"?>
<sst xmlns="http://schemas.openxmlformats.org/spreadsheetml/2006/main" count="171" uniqueCount="73">
  <si>
    <t>Client</t>
  </si>
  <si>
    <t>Service</t>
  </si>
  <si>
    <t>Cost</t>
  </si>
  <si>
    <t>Billing</t>
  </si>
  <si>
    <t>LastPaid</t>
  </si>
  <si>
    <t>ActiveStatus</t>
  </si>
  <si>
    <t>NextRenewal</t>
  </si>
  <si>
    <t>Alert</t>
  </si>
  <si>
    <t>Remarks</t>
  </si>
  <si>
    <t>EmailDeterminant</t>
  </si>
  <si>
    <t>QTY</t>
  </si>
  <si>
    <t>Discount</t>
  </si>
  <si>
    <t>Emails</t>
  </si>
  <si>
    <t>In_copy</t>
  </si>
  <si>
    <t>AddressLine1</t>
  </si>
  <si>
    <t>AddressLine2</t>
  </si>
  <si>
    <t>AddressLine3</t>
  </si>
  <si>
    <t>Bill_No</t>
  </si>
  <si>
    <t>Invoice_No</t>
  </si>
  <si>
    <t>Date</t>
  </si>
  <si>
    <t>FDL</t>
  </si>
  <si>
    <t>M365 Subscription</t>
  </si>
  <si>
    <t>Annually</t>
  </si>
  <si>
    <t>Yes</t>
  </si>
  <si>
    <t>ictsolutionsforeveryone@gmail.com</t>
  </si>
  <si>
    <t>lcim1104@gmail.com</t>
  </si>
  <si>
    <t>123 Aba Owerri Road</t>
  </si>
  <si>
    <t>Aba, Abia State</t>
  </si>
  <si>
    <t>GTL</t>
  </si>
  <si>
    <t>BitDefender Subscription</t>
  </si>
  <si>
    <t>Monthly</t>
  </si>
  <si>
    <t>No</t>
  </si>
  <si>
    <t>l.cim@outlook.com</t>
  </si>
  <si>
    <t>leonard.mbibi@gregobyte.com</t>
  </si>
  <si>
    <t>76 Ndiukwu Street</t>
  </si>
  <si>
    <t>By NHS Junction, Near PADESCO, Arondizuogu</t>
  </si>
  <si>
    <t>Imo State</t>
  </si>
  <si>
    <t>Internet Service Subscription</t>
  </si>
  <si>
    <t>JulJon</t>
  </si>
  <si>
    <t>lcim@outlook.com</t>
  </si>
  <si>
    <t>GPPS</t>
  </si>
  <si>
    <t>IT Support Contract</t>
  </si>
  <si>
    <t>Quarterly</t>
  </si>
  <si>
    <t>5 Amichi Crescent, Near ZOE Ministries,</t>
  </si>
  <si>
    <t>Off ESBS Bust Stop</t>
  </si>
  <si>
    <t>Ind. Layout, Enugu</t>
  </si>
  <si>
    <t>SOBAZ</t>
  </si>
  <si>
    <t>102 Oderigwugwu Street, Near Nkwo Achi,</t>
  </si>
  <si>
    <t>Ndiakeme, Arondizuogu</t>
  </si>
  <si>
    <t>JULJON</t>
  </si>
  <si>
    <t>INVOICE</t>
  </si>
  <si>
    <t>5 Wami Street, Off Aba Road</t>
  </si>
  <si>
    <t>By St. John's B.Stop</t>
  </si>
  <si>
    <t>Phone: 08037380044</t>
  </si>
  <si>
    <t>BILL_T0</t>
  </si>
  <si>
    <t>INVOICE_No</t>
  </si>
  <si>
    <t>DATE</t>
  </si>
  <si>
    <t>Row_ID</t>
  </si>
  <si>
    <t>ITS_2026_1072</t>
  </si>
  <si>
    <t>COMPANY ACCOUNT DETAILS</t>
  </si>
  <si>
    <t>ICT SOLUTIONS LIMITED</t>
  </si>
  <si>
    <t>Arondizuogu Community Bank =&gt; 20337886565</t>
  </si>
  <si>
    <t>DESCRIPTION</t>
  </si>
  <si>
    <t>UNIT PRICE</t>
  </si>
  <si>
    <t>AMOUNT</t>
  </si>
  <si>
    <t>ID</t>
  </si>
  <si>
    <t>Thanks for partnering with us.</t>
  </si>
  <si>
    <t>SUBTOTAL</t>
  </si>
  <si>
    <t>TAX RATE</t>
  </si>
  <si>
    <t>TAX</t>
  </si>
  <si>
    <t>TOTAL</t>
  </si>
  <si>
    <t>If you have any questions about this invoice, please contact</t>
  </si>
  <si>
    <t>Call Iyke on 08037886767 or ictsolutionsforeveryone@gmail.com.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</si>
</sst>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* #,##0_-;\-* #,##0_-;_-* &quot;-&quot;??_-;_-@_-"/>
    <numFmt numFmtId="166" formatCode="dd\-mmm\-yy"/>
    <numFmt numFmtId="167" formatCode="[$-409]d\-mmm\-yyyy;@"/>
    <numFmt numFmtId="168" formatCode="[$₦-470]#,##0.00;\-[$₦-470]#,##0.00"/>
    <numFmt numFmtId="169" formatCode="dd\-mmm\-yyyy"/>
  </numFmts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8"/>
      <color rgb="FF0E2E4B"/>
      <name val="Aharoni"/>
    </font>
    <font>
      <sz val="10"/>
      <color theme="1"/>
      <name val="Arial"/>
      <charset val="1"/>
    </font>
    <font>
      <b/>
      <sz val="36"/>
      <color rgb="FF144572"/>
      <name val="Aptos"/>
      <charset val="1"/>
    </font>
    <font>
      <b/>
      <sz val="10"/>
      <color theme="1"/>
      <name val="Aptos"/>
      <charset val="1"/>
    </font>
    <font>
      <sz val="9"/>
      <color theme="1"/>
      <name val="Arial"/>
      <charset val="1"/>
    </font>
    <font>
      <b/>
      <sz val="10"/>
      <color rgb="FFFFFFFF"/>
      <name val="Aptos"/>
      <charset val="1"/>
    </font>
    <font>
      <sz val="10"/>
      <color theme="1"/>
      <name val="Aptos"/>
      <charset val="1"/>
    </font>
    <font>
      <sz val="11"/>
      <color theme="1"/>
      <name val="Arial"/>
      <charset val="1"/>
    </font>
    <font>
      <sz val="11"/>
      <color theme="0"/>
      <name val="Calibri"/>
      <family val="2"/>
      <scheme val="minor"/>
    </font>
    <font>
      <sz val="10"/>
      <color theme="1"/>
      <name val="Times New Roman"/>
    </font>
    <font>
      <b/>
      <i/>
      <sz val="10"/>
      <color rgb="FF144572"/>
      <name val="Aptos"/>
      <charset val="1"/>
    </font>
    <font>
      <b/>
      <sz val="18"/>
      <color rgb="FFFFFFFF"/>
      <name val="Aptos"/>
      <charset val="1"/>
    </font>
    <font>
      <b/>
      <sz val="11"/>
      <color theme="0"/>
      <name val="Calibri"/>
      <family val="2"/>
      <scheme val="minor"/>
    </font>
    <font>
      <b/>
      <sz val="18"/>
      <color theme="1"/>
      <name val="Aptos"/>
      <charset val="1"/>
    </font>
    <font>
      <b/>
      <sz val="12"/>
      <color theme="0"/>
      <name val="Aptos Narrow"/>
      <family val="2"/>
      <scheme val="minor"/>
    </font>
    <font>
      <sz val="11"/>
      <color rgb="FF242424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4457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65" fontId="0" fillId="0" borderId="0" xfId="1" applyNumberFormat="1" applyFont="1" applyAlignment="1">
      <alignment vertical="center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2" applyAlignment="1">
      <alignment wrapText="1"/>
    </xf>
    <xf numFmtId="0" fontId="2" fillId="0" borderId="0" xfId="2" applyAlignment="1">
      <alignment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/>
    <xf numFmtId="15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readingOrder="1"/>
    </xf>
    <xf numFmtId="0" fontId="6" fillId="2" borderId="2" xfId="0" applyFont="1" applyFill="1" applyBorder="1" applyAlignment="1">
      <alignment readingOrder="1"/>
    </xf>
    <xf numFmtId="0" fontId="0" fillId="2" borderId="3" xfId="0" applyFill="1" applyBorder="1"/>
    <xf numFmtId="0" fontId="8" fillId="2" borderId="4" xfId="0" applyFont="1" applyFill="1" applyBorder="1" applyAlignment="1">
      <alignment readingOrder="1"/>
    </xf>
    <xf numFmtId="0" fontId="6" fillId="2" borderId="0" xfId="0" applyFont="1" applyFill="1" applyAlignment="1">
      <alignment readingOrder="1"/>
    </xf>
    <xf numFmtId="0" fontId="0" fillId="2" borderId="5" xfId="0" applyFill="1" applyBorder="1"/>
    <xf numFmtId="0" fontId="6" fillId="2" borderId="4" xfId="0" applyFont="1" applyFill="1" applyBorder="1" applyAlignment="1">
      <alignment readingOrder="1"/>
    </xf>
    <xf numFmtId="0" fontId="9" fillId="2" borderId="0" xfId="0" applyFont="1" applyFill="1" applyAlignment="1">
      <alignment readingOrder="1"/>
    </xf>
    <xf numFmtId="0" fontId="10" fillId="3" borderId="4" xfId="0" applyFont="1" applyFill="1" applyBorder="1" applyAlignment="1">
      <alignment readingOrder="1"/>
    </xf>
    <xf numFmtId="0" fontId="10" fillId="3" borderId="0" xfId="0" applyFont="1" applyFill="1" applyAlignment="1">
      <alignment horizontal="center" readingOrder="1"/>
    </xf>
    <xf numFmtId="0" fontId="0" fillId="0" borderId="6" xfId="0" applyBorder="1"/>
    <xf numFmtId="0" fontId="13" fillId="2" borderId="3" xfId="0" applyFont="1" applyFill="1" applyBorder="1"/>
    <xf numFmtId="0" fontId="0" fillId="3" borderId="5" xfId="0" applyFill="1" applyBorder="1"/>
    <xf numFmtId="0" fontId="11" fillId="2" borderId="0" xfId="0" applyFont="1" applyFill="1" applyAlignment="1">
      <alignment readingOrder="1"/>
    </xf>
    <xf numFmtId="0" fontId="13" fillId="2" borderId="5" xfId="0" applyFont="1" applyFill="1" applyBorder="1"/>
    <xf numFmtId="0" fontId="15" fillId="2" borderId="4" xfId="0" applyFont="1" applyFill="1" applyBorder="1" applyAlignment="1">
      <alignment readingOrder="1"/>
    </xf>
    <xf numFmtId="10" fontId="11" fillId="2" borderId="0" xfId="0" applyNumberFormat="1" applyFont="1" applyFill="1" applyAlignment="1">
      <alignment readingOrder="1"/>
    </xf>
    <xf numFmtId="0" fontId="16" fillId="3" borderId="0" xfId="0" applyFont="1" applyFill="1" applyAlignment="1">
      <alignment readingOrder="1"/>
    </xf>
    <xf numFmtId="168" fontId="16" fillId="3" borderId="5" xfId="0" applyNumberFormat="1" applyFont="1" applyFill="1" applyBorder="1" applyAlignment="1">
      <alignment readingOrder="1"/>
    </xf>
    <xf numFmtId="0" fontId="6" fillId="2" borderId="7" xfId="0" applyFont="1" applyFill="1" applyBorder="1" applyAlignment="1">
      <alignment readingOrder="1"/>
    </xf>
    <xf numFmtId="0" fontId="6" fillId="2" borderId="8" xfId="0" applyFont="1" applyFill="1" applyBorder="1" applyAlignment="1">
      <alignment readingOrder="1"/>
    </xf>
    <xf numFmtId="0" fontId="0" fillId="2" borderId="9" xfId="0" applyFill="1" applyBorder="1"/>
    <xf numFmtId="0" fontId="10" fillId="3" borderId="0" xfId="0" applyFont="1" applyFill="1" applyAlignment="1">
      <alignment horizontal="left" readingOrder="1"/>
    </xf>
    <xf numFmtId="0" fontId="13" fillId="3" borderId="5" xfId="0" applyFont="1" applyFill="1" applyBorder="1"/>
    <xf numFmtId="0" fontId="17" fillId="3" borderId="5" xfId="0" applyFont="1" applyFill="1" applyBorder="1"/>
    <xf numFmtId="0" fontId="0" fillId="0" borderId="0" xfId="0" applyAlignment="1">
      <alignment horizontal="left" vertical="center" wrapText="1"/>
    </xf>
    <xf numFmtId="0" fontId="11" fillId="4" borderId="4" xfId="0" applyFont="1" applyFill="1" applyBorder="1" applyAlignment="1">
      <alignment readingOrder="1"/>
    </xf>
    <xf numFmtId="0" fontId="11" fillId="4" borderId="2" xfId="0" applyFont="1" applyFill="1" applyBorder="1" applyAlignment="1">
      <alignment readingOrder="1"/>
    </xf>
    <xf numFmtId="1" fontId="12" fillId="4" borderId="2" xfId="0" applyNumberFormat="1" applyFont="1" applyFill="1" applyBorder="1" applyAlignment="1">
      <alignment horizontal="center" readingOrder="1"/>
    </xf>
    <xf numFmtId="0" fontId="8" fillId="4" borderId="2" xfId="0" applyFont="1" applyFill="1" applyBorder="1" applyAlignment="1">
      <alignment readingOrder="1"/>
    </xf>
    <xf numFmtId="167" fontId="8" fillId="4" borderId="2" xfId="0" applyNumberFormat="1" applyFont="1" applyFill="1" applyBorder="1" applyAlignment="1">
      <alignment readingOrder="1"/>
    </xf>
    <xf numFmtId="0" fontId="2" fillId="4" borderId="4" xfId="2" applyFill="1" applyBorder="1" applyAlignment="1">
      <alignment readingOrder="1"/>
    </xf>
    <xf numFmtId="0" fontId="6" fillId="4" borderId="4" xfId="0" applyFont="1" applyFill="1" applyBorder="1" applyAlignment="1">
      <alignment readingOrder="1"/>
    </xf>
    <xf numFmtId="0" fontId="11" fillId="4" borderId="0" xfId="0" applyFont="1" applyFill="1" applyAlignment="1">
      <alignment horizontal="center" vertical="center" readingOrder="1"/>
    </xf>
    <xf numFmtId="0" fontId="6" fillId="4" borderId="0" xfId="0" applyFont="1" applyFill="1" applyAlignment="1">
      <alignment horizontal="center" vertical="center" readingOrder="1"/>
    </xf>
    <xf numFmtId="168" fontId="11" fillId="4" borderId="0" xfId="0" applyNumberFormat="1" applyFont="1" applyFill="1" applyAlignment="1">
      <alignment readingOrder="1"/>
    </xf>
    <xf numFmtId="168" fontId="6" fillId="4" borderId="0" xfId="0" applyNumberFormat="1" applyFont="1" applyFill="1" applyAlignment="1">
      <alignment readingOrder="1"/>
    </xf>
    <xf numFmtId="168" fontId="18" fillId="4" borderId="0" xfId="0" applyNumberFormat="1" applyFont="1" applyFill="1" applyAlignment="1">
      <alignment readingOrder="1"/>
    </xf>
    <xf numFmtId="0" fontId="2" fillId="0" borderId="10" xfId="2" applyBorder="1" applyAlignment="1">
      <alignment vertical="center"/>
    </xf>
    <xf numFmtId="0" fontId="0" fillId="0" borderId="10" xfId="0" applyBorder="1" applyAlignment="1">
      <alignment vertical="center"/>
    </xf>
    <xf numFmtId="0" fontId="19" fillId="5" borderId="11" xfId="0" applyFont="1" applyFill="1" applyBorder="1" applyAlignment="1">
      <alignment horizontal="left" vertical="center" wrapText="1"/>
    </xf>
    <xf numFmtId="0" fontId="2" fillId="4" borderId="10" xfId="2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20" fillId="4" borderId="10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166" fontId="0" fillId="0" borderId="0" xfId="0" applyNumberFormat="1" applyAlignment="1">
      <alignment vertical="center"/>
    </xf>
    <xf numFmtId="1" fontId="4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69" fontId="0" fillId="6" borderId="11" xfId="0" applyNumberFormat="1" applyFill="1" applyBorder="1" applyAlignment="1">
      <alignment vertical="center" wrapText="1"/>
    </xf>
    <xf numFmtId="169" fontId="0" fillId="7" borderId="11" xfId="0" applyNumberFormat="1" applyFill="1" applyBorder="1" applyAlignment="1">
      <alignment vertical="center" wrapText="1"/>
    </xf>
    <xf numFmtId="0" fontId="0" fillId="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2" borderId="0" xfId="0" applyFont="1" applyFill="1" applyAlignment="1">
      <alignment readingOrder="1"/>
    </xf>
    <xf numFmtId="0" fontId="11" fillId="2" borderId="4" xfId="0" applyFont="1" applyFill="1" applyBorder="1" applyAlignment="1">
      <alignment readingOrder="1"/>
    </xf>
    <xf numFmtId="0" fontId="11" fillId="2" borderId="0" xfId="0" applyFont="1" applyFill="1" applyAlignment="1">
      <alignment readingOrder="1"/>
    </xf>
    <xf numFmtId="0" fontId="8" fillId="2" borderId="4" xfId="0" applyFont="1" applyFill="1" applyBorder="1" applyAlignment="1">
      <alignment readingOrder="1"/>
    </xf>
    <xf numFmtId="0" fontId="8" fillId="2" borderId="0" xfId="0" applyFont="1" applyFill="1" applyAlignment="1">
      <alignment readingOrder="1"/>
    </xf>
    <xf numFmtId="0" fontId="7" fillId="2" borderId="2" xfId="0" applyFont="1" applyFill="1" applyBorder="1" applyAlignment="1">
      <alignment horizontal="right" wrapText="1" readingOrder="1"/>
    </xf>
    <xf numFmtId="0" fontId="6" fillId="4" borderId="0" xfId="0" applyFont="1" applyFill="1" applyAlignment="1">
      <alignment readingOrder="1"/>
    </xf>
    <xf numFmtId="0" fontId="14" fillId="2" borderId="0" xfId="0" applyFont="1" applyFill="1" applyAlignment="1">
      <alignment horizontal="center" readingOrder="1"/>
    </xf>
  </cellXfs>
  <cellStyles count="3">
    <cellStyle name="Comma" xfId="1" builtinId="3"/>
    <cellStyle name="Hyperlink" xfId="2" builtinId="8"/>
    <cellStyle name="Normal" xfId="0" builtinId="0"/>
  </cellStyles>
  <dxfs count="74">
    <dxf>
      <font>
        <color theme="0"/>
      </font>
      <fill>
        <patternFill patternType="solid">
          <fgColor indexed="64"/>
          <bgColor rgb="FFF5F5F5"/>
        </patternFill>
      </fill>
      <border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charset val="1"/>
        <scheme val="none"/>
      </font>
      <numFmt numFmtId="167" formatCode="[$-409]d\-mmm\-yyyy;@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charset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charset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1"/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5F5F5"/>
        </patternFill>
      </fill>
    </dxf>
    <dxf>
      <numFmt numFmtId="168" formatCode="[$₦-470]#,##0.00;\-[$₦-470]#,##0.00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5F5F5"/>
        </patternFill>
      </fill>
      <alignment horizontal="general" vertical="bottom" textRotation="0" wrapText="0" indent="0" justifyLastLine="0" shrinkToFit="0" readingOrder="1"/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charset val="1"/>
        <scheme val="none"/>
      </font>
      <fill>
        <patternFill patternType="solid">
          <fgColor indexed="64"/>
          <bgColor rgb="FF144572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alignment vertical="center"/>
    </dxf>
    <dxf>
      <alignment vertical="center"/>
    </dxf>
    <dxf>
      <alignment vertical="center" wrapText="1"/>
    </dxf>
    <dxf>
      <alignment vertical="center" wrapText="1"/>
    </dxf>
    <dxf>
      <alignment vertical="center" wrapText="1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166" formatCode="dd\-mmm\-yy"/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\-mmm\-yy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165" formatCode="_-* #,##0_-;\-* #,##0_-;_-* &quot;-&quot;??_-;_-@_-"/>
      <alignment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left" vertical="center" textRotation="0" wrapText="1" indent="0" justifyLastLine="0" shrinkToFit="0" readingOrder="0"/>
    </dxf>
    <dxf>
      <numFmt numFmtId="1" formatCode="0"/>
      <alignment vertical="center"/>
    </dxf>
    <dxf>
      <numFmt numFmtId="1" formatCode="0"/>
      <alignment horizontal="center" vertical="center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166" formatCode="dd\-mmm\-yy"/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\-mmm\-yy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165" formatCode="_-* #,##0_-;\-* #,##0_-;_-* &quot;-&quot;??_-;_-@_-"/>
      <alignment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FFFFFFFF"/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485775</xdr:colOff>
      <xdr:row>13</xdr:row>
      <xdr:rowOff>123825</xdr:rowOff>
    </xdr:from>
    <xdr:to>
      <xdr:col>13</xdr:col>
      <xdr:colOff>247650</xdr:colOff>
      <xdr:row>17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35BF2C-269E-402E-8B08-AB2009D6A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4305300"/>
          <a:ext cx="1647825" cy="704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228600</xdr:colOff>
      <xdr:row>6</xdr:row>
      <xdr:rowOff>85725</xdr:rowOff>
    </xdr:from>
    <xdr:to>
      <xdr:col>12</xdr:col>
      <xdr:colOff>523875</xdr:colOff>
      <xdr:row>9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37C651-EDE7-F9E8-DF84-55315E6EC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0" y="2828925"/>
          <a:ext cx="1647825" cy="704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190500</xdr:rowOff>
    </xdr:from>
    <xdr:to>
      <xdr:col>0</xdr:col>
      <xdr:colOff>1228725</xdr:colOff>
      <xdr:row>1</xdr:row>
      <xdr:rowOff>485775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D0A7E-30F3-47CA-81F8-31F71DBEC53D}"/>
            </a:ext>
            <a:ext uri="{147F2762-F138-4A5C-976F-8EAC2B608ADB}">
              <a16:predDERef xmlns:a16="http://schemas.microsoft.com/office/drawing/2014/main" pred="{CF66B73B-242A-A6E6-7C24-B3755F4A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90500"/>
          <a:ext cx="1171575" cy="4953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onard Mbibi" id="{90FE6A2B-BF73-4AF7-B5D5-25E8E51BDF3A}" userId="S::leonard.mbibi@gregobyte.com::02c0729d-909c-4f02-970f-b0082d86fea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8493A7-AC53-4617-A433-275989B38219}" name="ServiceTable" displayName="ServiceTable" ref="A1:L8" totalsRowShown="0" headerRowDxfId="71">
  <autoFilter ref="A1:L8" xr:uid="{3CE646ED-C430-4BD8-8419-D5D2B8044C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E3DE5D35-54A8-4C07-9810-F054BB2200B3}" name="Client" dataDxfId="70"/>
    <tableColumn id="2" xr3:uid="{21CB7DF5-177E-462F-A416-F6AEF7070D3F}" name="Service" dataDxfId="69"/>
    <tableColumn id="3" xr3:uid="{C8F402E9-A324-4D90-B5B6-B3D3C08FD4F1}" name="Cost" dataDxfId="68" dataCellStyle="Comma"/>
    <tableColumn id="4" xr3:uid="{09E9BC28-F6F8-452D-B82B-B63A29D9F0C2}" name="Billing" dataDxfId="67"/>
    <tableColumn id="5" xr3:uid="{EBD4617C-6523-4730-88BE-1243676DF032}" name="LastPaid" dataDxfId="66"/>
    <tableColumn id="6" xr3:uid="{7DBAD2BA-A282-4794-A278-40B771E9794E}" name="ActiveStatus" dataDxfId="65"/>
    <tableColumn id="7" xr3:uid="{25AB06F3-D9BB-41D6-8122-36019CF4091F}" name="NextRenewal" dataDxfId="64">
      <calculatedColumnFormula>IF(ServiceTable[[#This Row],[ActiveStatus]]="No", "inactive", EDATE(ServiceTable[[#This Row],[LastPaid]], IF(ServiceTable[[#This Row],[Billing]]="Monthly", 1, IF(ServiceTable[[#This Row],[Billing]]="Quarterly", 3, 12))))</calculatedColumnFormula>
    </tableColumn>
    <tableColumn id="8" xr3:uid="{3946BF83-CD18-431B-98E2-8F240C2D7FEB}" name="Alert" dataDxfId="63">
      <calculatedColumnFormula>IF(ServiceTable[[#This Row],[ActiveStatus]] = "No", "Inactive", IF(ServiceTable[[#This Row],[NextRenewal]] - TODAY() &lt;= 3, "Act now - Invoice due", IF(ServiceTable[[#This Row],[NextRenewal]] - TODAY() &lt;= 7, "Invoice is fast approaching", "No action needed")))</calculatedColumnFormula>
    </tableColumn>
    <tableColumn id="9" xr3:uid="{C0596CF2-B236-4935-A937-A44466672303}" name="Remarks" dataDxfId="62">
      <calculatedColumnFormula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calculatedColumnFormula>
    </tableColumn>
    <tableColumn id="10" xr3:uid="{F03550E7-A2D6-4013-B862-94877434A158}" name="EmailDeterminant" dataDxfId="61">
      <calculatedColumnFormula>INT(IF(ServiceTable[[#This Row],[ActiveStatus]] = "No", -1000, ServiceTable[[#This Row],[NextRenewal]] - TODAY()))</calculatedColumnFormula>
    </tableColumn>
    <tableColumn id="16" xr3:uid="{78A89205-5E3E-478B-A958-F175F1E1B0AD}" name="QTY" dataDxfId="60"/>
    <tableColumn id="17" xr3:uid="{2AE904D3-F109-4C7F-84DB-145849AA1F75}" name="Discount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06524F-BD77-4AF9-B3AB-7FFBC118282C}" name="ClientTable" displayName="ClientTable" ref="O1:W6" headerRowDxfId="58" dataDxfId="57" headerRowBorderDxfId="55" tableBorderDxfId="56" totalsRowBorderDxfId="54">
  <autoFilter ref="O1:W6" xr:uid="{A606524F-BD77-4AF9-B3AB-7FFBC11828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0D4E92F-D062-4522-ABC0-4C078FE11EBE}" name="Client" totalsRowLabel="Total" dataDxfId="52" totalsRowDxfId="53" dataCellStyle="Hyperlink" totalsRowCellStyle="Hyperlink"/>
    <tableColumn id="8" xr3:uid="{88D3E119-F944-4546-BA2D-B468EDD072B6}" name="Emails" dataDxfId="50" totalsRowDxfId="51" dataCellStyle="Hyperlink" totalsRowCellStyle="Hyperlink"/>
    <tableColumn id="2" xr3:uid="{36DAD3A8-A5B6-41CD-84D6-183BE805BBB2}" name="In_copy" dataDxfId="48" totalsRowDxfId="49" dataCellStyle="Hyperlink"/>
    <tableColumn id="3" xr3:uid="{1752F5ED-8A18-474B-A3AD-4929BFC8DD77}" name="AddressLine1" dataDxfId="46" totalsRowDxfId="47"/>
    <tableColumn id="4" xr3:uid="{C43923F0-8A43-44E1-B3E2-E5F1798D55FB}" name="AddressLine2" dataDxfId="44" totalsRowDxfId="45"/>
    <tableColumn id="5" xr3:uid="{828A6FC1-97D4-4BB1-96C2-908C9A576B3B}" name="AddressLine3" dataDxfId="42" totalsRowDxfId="43"/>
    <tableColumn id="6" xr3:uid="{F6B0F55F-4D8A-4211-911A-87A06C061BF4}" name="Bill_No" dataDxfId="40" totalsRowDxfId="41"/>
    <tableColumn id="7" xr3:uid="{D6C68E50-D567-4669-8EC3-94F477DB69AF}" name="Invoice_No" totalsRowFunction="sum" dataDxfId="38" totalsRowDxfId="39">
      <calculatedColumnFormula>"ITS_"&amp;YEAR(ClientTable[[#This Row],[Date]])&amp;"_"&amp;ClientTable[[#This Row],[Bill_No]]</calculatedColumnFormula>
    </tableColumn>
    <tableColumn id="9" xr3:uid="{721E63B0-E62A-458F-BE22-7D1E4508D675}" name="Date" dataDxfId="36" totalsRowDxfId="37">
      <calculatedColumnFormula>TODAY()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646ED-C430-4BD8-8419-D5D2B8044C1B}" name="DataTable" displayName="DataTable" ref="A1:Q6" totalsRowShown="0" headerRowDxfId="33">
  <autoFilter ref="A1:Q6" xr:uid="{3CE646ED-C430-4BD8-8419-D5D2B8044C1B}"/>
  <tableColumns count="17">
    <tableColumn id="1" xr3:uid="{C3EC2CF2-5208-4763-8E7B-6352BBA4F583}" name="Client" dataDxfId="32"/>
    <tableColumn id="2" xr3:uid="{BBFF85DA-5672-40D0-91ED-36AEE426DBB1}" name="Service" dataDxfId="31"/>
    <tableColumn id="3" xr3:uid="{3A6211B1-7E6A-49CD-8AE5-BE94582514FE}" name="Cost" dataDxfId="30" dataCellStyle="Comma"/>
    <tableColumn id="4" xr3:uid="{52BDCDB7-8AB8-4548-9711-F5BBDBFACC8B}" name="Billing" dataDxfId="29"/>
    <tableColumn id="5" xr3:uid="{1A409EFE-6E40-45AB-BDF1-017832EC62BE}" name="LastPaid" dataDxfId="28"/>
    <tableColumn id="6" xr3:uid="{29D114DB-9AF3-4159-9962-1E46EE3073E2}" name="ActiveStatus" dataDxfId="27"/>
    <tableColumn id="7" xr3:uid="{422E9FCE-0ED0-4811-89CB-34C0ED3F0BA1}" name="NextRenewal" dataDxfId="26">
      <calculatedColumnFormula>IF(DataTable[[#This Row],[ActiveStatus]]="No", "inactive", EDATE(DataTable[[#This Row],[LastPaid]], IF(DataTable[[#This Row],[Billing]]="Monthly", 1, IF(DataTable[[#This Row],[Billing]]="Quarterly", 3, 12))))</calculatedColumnFormula>
    </tableColumn>
    <tableColumn id="8" xr3:uid="{EDDBECA9-45F3-4603-8801-6BA309245334}" name="Alert" dataDxfId="25">
      <calculatedColumnFormula>IF(DataTable[[#This Row],[ActiveStatus]] = "No", "Inactive", IF(DataTable[[#This Row],[NextRenewal]] - TODAY() &lt;= 3, "Act now - Invoice due", IF(DataTable[[#This Row],[NextRenewal]] - TODAY() &lt;= 7, "Invoice is fast approaching", "No action needed")))</calculatedColumnFormula>
    </tableColumn>
    <tableColumn id="9" xr3:uid="{48232A19-6BF8-409A-B1EF-BBBC97ACB2CB}" name="Remarks" dataDxfId="24">
      <calculatedColumnFormula>IF(DataTable[[#This Row],[ActiveStatus]]  = "No", "Bill canceled", IF((DataTable[[#This Row],[NextRenewal]] - TODAY()) &lt; 0, ABS(DataTable[[#This Row],[NextRenewal]] - TODAY()) &amp; IF(ABS(DataTable[[#This Row],[NextRenewal]] - TODAY()) = 1, " day", " days") &amp; " overdue", DataTable[[#This Row],[NextRenewal]] - TODAY() &amp; IF(DataTable[[#This Row],[NextRenewal]] - TODAY() = 1, " day", " days") &amp; " left"))</calculatedColumnFormula>
    </tableColumn>
    <tableColumn id="10" xr3:uid="{35DD18F2-F542-4DC0-8F87-3915BF6652B6}" name="EmailDeterminant" dataDxfId="23">
      <calculatedColumnFormula>INT(IF(DataTable[[#This Row],[ActiveStatus]] = "No", -1000, DataTable[[#This Row],[NextRenewal]] - TODAY()))</calculatedColumnFormula>
    </tableColumn>
    <tableColumn id="11" xr3:uid="{6920BFC4-1208-4833-8A3B-10DC32045769}" name="Emails" dataDxfId="22"/>
    <tableColumn id="12" xr3:uid="{3FA09B4F-B72C-4159-8940-D69A6F2E3C5C}" name="In_copy" dataDxfId="21"/>
    <tableColumn id="13" xr3:uid="{07BE456D-268D-4885-BD6A-C74834D63905}" name="AddressLine1" dataDxfId="20"/>
    <tableColumn id="14" xr3:uid="{A06F4AEC-DE77-4CFB-932E-B07264F9CE5C}" name="AddressLine2" dataDxfId="19"/>
    <tableColumn id="15" xr3:uid="{83745DDD-CE74-439B-891B-92FD1281FDB5}" name="AddressLine3" dataDxfId="18"/>
    <tableColumn id="16" xr3:uid="{3B49A428-D6B6-4433-A938-8ACFE7B879CE}" name="QTY" dataDxfId="17"/>
    <tableColumn id="17" xr3:uid="{E7651678-C5C8-4DC4-9A84-7E4ECE910D1F}" name="Discount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9B07B8-0B54-47D5-8ACB-96CB6C215E57}" name="InvoiceTable" displayName="InvoiceTable" ref="A14:E20" totalsRowShown="0" headerRowDxfId="15" headerRowBorderDxfId="13" tableBorderDxfId="14" totalsRowBorderDxfId="12">
  <autoFilter ref="A14:E20" xr:uid="{419B07B8-0B54-47D5-8ACB-96CB6C215E57}"/>
  <tableColumns count="5">
    <tableColumn id="1" xr3:uid="{25DAD5CD-410A-4E4D-ABDD-68CFB0C10B1E}" name="DESCRIPTION" dataDxfId="11"/>
    <tableColumn id="3" xr3:uid="{7B220E6D-D06E-4915-8DBB-AA1C296280E1}" name="QTY" dataDxfId="10"/>
    <tableColumn id="4" xr3:uid="{666310A6-D46E-43E5-804D-7BDDA81F8799}" name="UNIT PRICE"/>
    <tableColumn id="5" xr3:uid="{3E3089B1-BF35-46CE-8F6F-5D792EA25819}" name="AMOUNT" dataDxfId="9"/>
    <tableColumn id="2" xr3:uid="{FD61873B-5FC4-47B7-8565-13A96408A05D}" name="ID" dataDxfId="8">
      <calculatedColumnFormula>ROW() - ROW(#REF!)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0FD278-E59B-495F-A2C5-357055FCDB7C}" name="HeaderTable" displayName="HeaderTable" ref="A7:H8" totalsRowShown="0" headerRowBorderDxfId="6" tableBorderDxfId="7" totalsRowBorderDxfId="5">
  <autoFilter ref="A7:H8" xr:uid="{F90FD278-E59B-495F-A2C5-357055FCDB7C}"/>
  <tableColumns count="8">
    <tableColumn id="1" xr3:uid="{0B9CAA80-D3FA-43CB-A1B7-AAE9C403107F}" name="BILL_T0" dataDxfId="4"/>
    <tableColumn id="2" xr3:uid="{802A4D61-74B9-4392-8568-D25C36C2A289}" name="Bill_No" dataDxfId="3"/>
    <tableColumn id="3" xr3:uid="{99E1B0DC-7489-4978-AF46-5DB6BC0E568C}" name="INVOICE_No" dataDxfId="2"/>
    <tableColumn id="4" xr3:uid="{BEAE1DAA-F5A4-4D7B-8842-62C6BE71EB30}" name="DATE" dataDxfId="1">
      <calculatedColumnFormula>TODAY()</calculatedColumnFormula>
    </tableColumn>
    <tableColumn id="5" xr3:uid="{194816EF-30AC-4E5E-B5B3-6DD8DA257AE4}" name="Row_ID" dataDxfId="0"/>
    <tableColumn id="6" xr3:uid="{9E16503B-F260-49A4-92F1-AE1E8B39346D}" name="AddressLine1"/>
    <tableColumn id="7" xr3:uid="{63369F03-0211-4077-B529-554944DCE224}" name="AddressLine2"/>
    <tableColumn id="8" xr3:uid="{23F20C95-CEA9-4F3A-8506-F5BA3D59B41F}" name="AddressLine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1" dT="2026-08-12T14:00:18.67" personId="{90FE6A2B-BF73-4AF7-B5D5-25E8E51BDF3A}" id="{38B2870D-4784-48DA-8B7A-0915766CA34F}">
    <text>This formula can also be used here:
=IF(SUM(InvoiceTable[AMOUNT])=0, "", SUM(InvoiceTable[AMOUNT]))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ctsolutionsforeveryone@gmail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ictsolutionsforeveryone@gmail.com" TargetMode="External"/><Relationship Id="rId7" Type="http://schemas.openxmlformats.org/officeDocument/2006/relationships/hyperlink" Target="mailto:lcim1104@gmail.com" TargetMode="External"/><Relationship Id="rId12" Type="http://schemas.openxmlformats.org/officeDocument/2006/relationships/hyperlink" Target="mailto:l.cim@outlook.com" TargetMode="External"/><Relationship Id="rId2" Type="http://schemas.openxmlformats.org/officeDocument/2006/relationships/hyperlink" Target="mailto:l.cim@outlook.com" TargetMode="External"/><Relationship Id="rId1" Type="http://schemas.openxmlformats.org/officeDocument/2006/relationships/hyperlink" Target="mailto:ictsolutionsforeveryone@gmail.com" TargetMode="External"/><Relationship Id="rId6" Type="http://schemas.openxmlformats.org/officeDocument/2006/relationships/hyperlink" Target="mailto:lcim1104@gmail.com" TargetMode="External"/><Relationship Id="rId11" Type="http://schemas.openxmlformats.org/officeDocument/2006/relationships/hyperlink" Target="mailto:lcim1104@gmail.com" TargetMode="External"/><Relationship Id="rId5" Type="http://schemas.openxmlformats.org/officeDocument/2006/relationships/hyperlink" Target="mailto:l.cim@outlook.com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mailto:lcim@outlook.com" TargetMode="External"/><Relationship Id="rId4" Type="http://schemas.openxmlformats.org/officeDocument/2006/relationships/hyperlink" Target="mailto:lcim1104@gmail.com" TargetMode="External"/><Relationship Id="rId9" Type="http://schemas.openxmlformats.org/officeDocument/2006/relationships/hyperlink" Target="mailto:l.cim@outlook.com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ictsolutionsforeveryone@gmail.com" TargetMode="External"/><Relationship Id="rId7" Type="http://schemas.openxmlformats.org/officeDocument/2006/relationships/hyperlink" Target="mailto:lcim1104@gmail.com" TargetMode="External"/><Relationship Id="rId2" Type="http://schemas.openxmlformats.org/officeDocument/2006/relationships/hyperlink" Target="mailto:l.cim@outlook.com" TargetMode="External"/><Relationship Id="rId1" Type="http://schemas.openxmlformats.org/officeDocument/2006/relationships/hyperlink" Target="mailto:ictsolutionsforeveryone@gmail.com" TargetMode="External"/><Relationship Id="rId6" Type="http://schemas.openxmlformats.org/officeDocument/2006/relationships/hyperlink" Target="mailto:lcim1104@gmail.com" TargetMode="External"/><Relationship Id="rId5" Type="http://schemas.openxmlformats.org/officeDocument/2006/relationships/hyperlink" Target="mailto:l.cim@outlook.com" TargetMode="External"/><Relationship Id="rId10" Type="http://schemas.openxmlformats.org/officeDocument/2006/relationships/table" Target="../tables/table3.xml"/><Relationship Id="rId4" Type="http://schemas.openxmlformats.org/officeDocument/2006/relationships/hyperlink" Target="mailto:lcim1104@gmail.com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4308-6F5C-4A64-AB39-F91D445CBC3B}">
  <dimension ref="A1:W8"/>
  <sheetViews>
    <sheetView tabSelected="1" workbookViewId="0">
      <selection activeCell="E5" sqref="E5"/>
    </sheetView>
  </sheetViews>
  <sheetFormatPr defaultRowHeight="15.75"/>
  <cols>
    <col min="1" max="1" width="8.375" customWidth="1"/>
    <col min="2" max="2" width="11.875" customWidth="1"/>
    <col min="3" max="3" width="10.125" customWidth="1"/>
    <col min="4" max="4" width="7.875" customWidth="1"/>
    <col min="5" max="5" width="10.625" customWidth="1"/>
    <col min="6" max="6" width="6" customWidth="1"/>
    <col min="7" max="7" width="11.125" customWidth="1"/>
    <col min="8" max="8" width="10.5" customWidth="1"/>
    <col min="9" max="9" width="9.25" customWidth="1"/>
    <col min="10" max="10" width="11" customWidth="1"/>
    <col min="11" max="11" width="7.5" customWidth="1"/>
    <col min="12" max="12" width="8.25" customWidth="1"/>
    <col min="15" max="15" width="10.375" customWidth="1"/>
    <col min="16" max="17" width="20.125" customWidth="1"/>
    <col min="18" max="18" width="17.625" customWidth="1"/>
    <col min="19" max="19" width="14.5" customWidth="1"/>
    <col min="20" max="20" width="14.125" customWidth="1"/>
    <col min="21" max="21" width="7.875" customWidth="1"/>
    <col min="22" max="22" width="12.875" customWidth="1"/>
    <col min="23" max="23" width="12.625" customWidth="1"/>
  </cols>
  <sheetData>
    <row r="1" spans="1:23" ht="30.7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O1" s="54" t="s">
        <v>0</v>
      </c>
      <c r="P1" s="54" t="s">
        <v>12</v>
      </c>
      <c r="Q1" s="54" t="s">
        <v>13</v>
      </c>
      <c r="R1" s="54" t="s">
        <v>14</v>
      </c>
      <c r="S1" s="54" t="s">
        <v>15</v>
      </c>
      <c r="T1" s="54" t="s">
        <v>16</v>
      </c>
      <c r="U1" s="54" t="s">
        <v>17</v>
      </c>
      <c r="V1" s="54" t="s">
        <v>18</v>
      </c>
      <c r="W1" s="54" t="s">
        <v>19</v>
      </c>
    </row>
    <row r="2" spans="1:23" ht="30.75">
      <c r="A2" s="1" t="s">
        <v>20</v>
      </c>
      <c r="B2" s="6" t="s">
        <v>21</v>
      </c>
      <c r="C2" s="4">
        <v>1700378</v>
      </c>
      <c r="D2" s="3" t="s">
        <v>22</v>
      </c>
      <c r="E2" s="5">
        <v>45893</v>
      </c>
      <c r="F2" s="1" t="s">
        <v>23</v>
      </c>
      <c r="G2" s="5">
        <f>IF(ServiceTable[[#This Row],[ActiveStatus]]="No", "inactive", EDATE(ServiceTable[[#This Row],[LastPaid]], IF(ServiceTable[[#This Row],[Billing]]="Monthly", 1, IF(ServiceTable[[#This Row],[Billing]]="Quarterly", 3, 12))))</f>
        <v>46258</v>
      </c>
      <c r="H2" s="6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Act now - Invoice due</v>
      </c>
      <c r="I2" s="3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1 day overdue</v>
      </c>
      <c r="J2" s="9">
        <f ca="1">INT(IF(ServiceTable[[#This Row],[ActiveStatus]] = "No", -1000, ServiceTable[[#This Row],[NextRenewal]] - TODAY()))</f>
        <v>-1</v>
      </c>
      <c r="K2" s="9">
        <v>2</v>
      </c>
      <c r="L2" s="60">
        <v>100000</v>
      </c>
      <c r="O2" s="55" t="s">
        <v>20</v>
      </c>
      <c r="P2" s="55" t="s">
        <v>24</v>
      </c>
      <c r="Q2" s="55" t="s">
        <v>25</v>
      </c>
      <c r="R2" s="56" t="s">
        <v>26</v>
      </c>
      <c r="S2" s="56" t="s">
        <v>27</v>
      </c>
      <c r="T2" s="56"/>
      <c r="U2" s="64">
        <v>1013</v>
      </c>
      <c r="V2" s="57" t="str">
        <f ca="1">"ITS_"&amp;YEAR(ClientTable[[#This Row],[Date]])&amp;"_"&amp;ClientTable[[#This Row],[Bill_No]]</f>
        <v>ITS_2026_1013</v>
      </c>
      <c r="W2" s="62">
        <f t="shared" ref="W2:W6" ca="1" si="0">TODAY()</f>
        <v>46259</v>
      </c>
    </row>
    <row r="3" spans="1:23" ht="30.75">
      <c r="A3" s="1" t="s">
        <v>28</v>
      </c>
      <c r="B3" s="6" t="s">
        <v>29</v>
      </c>
      <c r="C3" s="4">
        <v>128500</v>
      </c>
      <c r="D3" s="3" t="s">
        <v>30</v>
      </c>
      <c r="E3" s="5">
        <v>46188</v>
      </c>
      <c r="F3" s="1" t="s">
        <v>31</v>
      </c>
      <c r="G3" s="5" t="str">
        <f>IF(ServiceTable[[#This Row],[ActiveStatus]]="No", "inactive", EDATE(ServiceTable[[#This Row],[LastPaid]], IF(ServiceTable[[#This Row],[Billing]]="Monthly", 1, IF(ServiceTable[[#This Row],[Billing]]="Quarterly", 3, 12))))</f>
        <v>inactive</v>
      </c>
      <c r="H3" s="6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Inactive</v>
      </c>
      <c r="I3" s="3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Bill canceled</v>
      </c>
      <c r="J3" s="9">
        <f ca="1">INT(IF(ServiceTable[[#This Row],[ActiveStatus]] = "No", -1000, ServiceTable[[#This Row],[NextRenewal]] - TODAY()))</f>
        <v>-1000</v>
      </c>
      <c r="K3" s="9">
        <v>1</v>
      </c>
      <c r="L3" s="61"/>
      <c r="O3" s="52" t="s">
        <v>28</v>
      </c>
      <c r="P3" s="52" t="s">
        <v>32</v>
      </c>
      <c r="Q3" s="53" t="s">
        <v>33</v>
      </c>
      <c r="R3" s="58" t="s">
        <v>34</v>
      </c>
      <c r="S3" s="53" t="s">
        <v>35</v>
      </c>
      <c r="T3" s="53" t="s">
        <v>36</v>
      </c>
      <c r="U3" s="65">
        <v>1013</v>
      </c>
      <c r="V3" s="53" t="str">
        <f ca="1">"ITS_"&amp;YEAR(ClientTable[[#This Row],[Date]])&amp;"_"&amp;ClientTable[[#This Row],[Bill_No]]</f>
        <v>ITS_2026_1013</v>
      </c>
      <c r="W3" s="63">
        <f t="shared" ca="1" si="0"/>
        <v>46259</v>
      </c>
    </row>
    <row r="4" spans="1:23" ht="46.5">
      <c r="A4" s="1" t="s">
        <v>20</v>
      </c>
      <c r="B4" s="6" t="s">
        <v>37</v>
      </c>
      <c r="C4" s="4">
        <v>50000</v>
      </c>
      <c r="D4" s="3" t="s">
        <v>30</v>
      </c>
      <c r="E4" s="5">
        <v>46229</v>
      </c>
      <c r="F4" s="1" t="s">
        <v>23</v>
      </c>
      <c r="G4" s="5">
        <f>IF(ServiceTable[[#This Row],[ActiveStatus]]="No", "inactive", EDATE(ServiceTable[[#This Row],[LastPaid]], IF(ServiceTable[[#This Row],[Billing]]="Monthly", 1, IF(ServiceTable[[#This Row],[Billing]]="Quarterly", 3, 12))))</f>
        <v>46260</v>
      </c>
      <c r="H4" s="6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Act now - Invoice due</v>
      </c>
      <c r="I4" s="3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1 day left</v>
      </c>
      <c r="J4" s="9">
        <f ca="1">INT(IF(ServiceTable[[#This Row],[ActiveStatus]] = "No", -1000, ServiceTable[[#This Row],[NextRenewal]] - TODAY()))</f>
        <v>1</v>
      </c>
      <c r="K4" s="9">
        <v>3</v>
      </c>
      <c r="L4" s="61"/>
      <c r="O4" s="55" t="s">
        <v>38</v>
      </c>
      <c r="P4" s="55" t="s">
        <v>39</v>
      </c>
      <c r="Q4" s="55" t="s">
        <v>25</v>
      </c>
      <c r="R4" s="56" t="s">
        <v>26</v>
      </c>
      <c r="S4" s="56" t="s">
        <v>27</v>
      </c>
      <c r="T4" s="56"/>
      <c r="U4" s="64">
        <v>1000</v>
      </c>
      <c r="V4" s="57" t="str">
        <f ca="1">"ITS_"&amp;YEAR(ClientTable[[#This Row],[Date]])&amp;"_"&amp;ClientTable[[#This Row],[Bill_No]]</f>
        <v>ITS_2026_1000</v>
      </c>
      <c r="W4" s="62">
        <f t="shared" ca="1" si="0"/>
        <v>46259</v>
      </c>
    </row>
    <row r="5" spans="1:23" ht="30.75">
      <c r="A5" s="1" t="s">
        <v>40</v>
      </c>
      <c r="B5" s="6" t="s">
        <v>41</v>
      </c>
      <c r="C5" s="4">
        <v>2000000</v>
      </c>
      <c r="D5" s="3" t="s">
        <v>42</v>
      </c>
      <c r="E5" s="5">
        <v>46254</v>
      </c>
      <c r="F5" s="1" t="s">
        <v>23</v>
      </c>
      <c r="G5" s="5">
        <f>IF(ServiceTable[[#This Row],[ActiveStatus]]="No", "inactive", EDATE(ServiceTable[[#This Row],[LastPaid]], IF(ServiceTable[[#This Row],[Billing]]="Monthly", 1, IF(ServiceTable[[#This Row],[Billing]]="Quarterly", 3, 12))))</f>
        <v>46346</v>
      </c>
      <c r="H5" s="6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No action needed</v>
      </c>
      <c r="I5" s="3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87 days left</v>
      </c>
      <c r="J5" s="9">
        <f ca="1">INT(IF(ServiceTable[[#This Row],[ActiveStatus]] = "No", -1000, ServiceTable[[#This Row],[NextRenewal]] - TODAY()))</f>
        <v>87</v>
      </c>
      <c r="K5" s="9">
        <v>1</v>
      </c>
      <c r="L5" s="61">
        <v>54000</v>
      </c>
      <c r="O5" s="52" t="s">
        <v>40</v>
      </c>
      <c r="P5" s="52" t="s">
        <v>25</v>
      </c>
      <c r="Q5" s="53" t="s">
        <v>33</v>
      </c>
      <c r="R5" s="58" t="s">
        <v>43</v>
      </c>
      <c r="S5" s="53" t="s">
        <v>44</v>
      </c>
      <c r="T5" s="53" t="s">
        <v>45</v>
      </c>
      <c r="U5" s="65">
        <v>1013</v>
      </c>
      <c r="V5" s="53" t="str">
        <f ca="1">"ITS_"&amp;YEAR(ClientTable[[#This Row],[Date]])&amp;"_"&amp;ClientTable[[#This Row],[Bill_No]]</f>
        <v>ITS_2026_1013</v>
      </c>
      <c r="W5" s="63">
        <f t="shared" ca="1" si="0"/>
        <v>46259</v>
      </c>
    </row>
    <row r="6" spans="1:23" ht="30.75">
      <c r="A6" s="1" t="s">
        <v>46</v>
      </c>
      <c r="B6" s="6" t="s">
        <v>21</v>
      </c>
      <c r="C6" s="4">
        <v>2555000</v>
      </c>
      <c r="D6" s="3" t="s">
        <v>22</v>
      </c>
      <c r="E6" s="11">
        <v>45894</v>
      </c>
      <c r="F6" s="1" t="s">
        <v>23</v>
      </c>
      <c r="G6" s="5">
        <f>IF(ServiceTable[[#This Row],[ActiveStatus]]="No", "inactive", EDATE(ServiceTable[[#This Row],[LastPaid]], IF(ServiceTable[[#This Row],[Billing]]="Monthly", 1, IF(ServiceTable[[#This Row],[Billing]]="Quarterly", 3, 12))))</f>
        <v>46259</v>
      </c>
      <c r="H6" s="6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Act now - Invoice due</v>
      </c>
      <c r="I6" s="3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0 days left</v>
      </c>
      <c r="J6" s="9">
        <f ca="1">INT(IF(ServiceTable[[#This Row],[ActiveStatus]] = "No", -1000, ServiceTable[[#This Row],[NextRenewal]] - TODAY()))</f>
        <v>0</v>
      </c>
      <c r="K6" s="9">
        <v>1</v>
      </c>
      <c r="L6" s="61"/>
      <c r="O6" s="55" t="s">
        <v>46</v>
      </c>
      <c r="P6" s="55" t="s">
        <v>32</v>
      </c>
      <c r="Q6" s="55" t="s">
        <v>33</v>
      </c>
      <c r="R6" s="56" t="s">
        <v>47</v>
      </c>
      <c r="S6" s="56" t="s">
        <v>48</v>
      </c>
      <c r="T6" s="56" t="s">
        <v>36</v>
      </c>
      <c r="U6" s="64">
        <v>1013</v>
      </c>
      <c r="V6" s="57" t="str">
        <f ca="1">"ITS_"&amp;YEAR(ClientTable[[#This Row],[Date]])&amp;"_"&amp;ClientTable[[#This Row],[Bill_No]]</f>
        <v>ITS_2026_1013</v>
      </c>
      <c r="W6" s="62">
        <f t="shared" ca="1" si="0"/>
        <v>46259</v>
      </c>
    </row>
    <row r="7" spans="1:23" ht="30.75">
      <c r="A7" s="1" t="s">
        <v>28</v>
      </c>
      <c r="B7" s="6" t="s">
        <v>29</v>
      </c>
      <c r="C7" s="4">
        <v>120000</v>
      </c>
      <c r="D7" s="3" t="s">
        <v>30</v>
      </c>
      <c r="E7" s="59">
        <v>46226</v>
      </c>
      <c r="F7" s="1" t="s">
        <v>23</v>
      </c>
      <c r="G7" s="59">
        <f>IF(ServiceTable[[#This Row],[ActiveStatus]]="No", "inactive", EDATE(ServiceTable[[#This Row],[LastPaid]], IF(ServiceTable[[#This Row],[Billing]]="Monthly", 1, IF(ServiceTable[[#This Row],[Billing]]="Quarterly", 3, 12))))</f>
        <v>46257</v>
      </c>
      <c r="H7" s="6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Act now - Invoice due</v>
      </c>
      <c r="I7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2 days overdue</v>
      </c>
      <c r="J7" s="9">
        <f ca="1">INT(IF(ServiceTable[[#This Row],[ActiveStatus]] = "No", -1000, ServiceTable[[#This Row],[NextRenewal]] - TODAY()))</f>
        <v>-2</v>
      </c>
      <c r="K7" s="9">
        <v>3</v>
      </c>
      <c r="L7" s="61">
        <v>10000</v>
      </c>
    </row>
    <row r="8" spans="1:23" ht="54.75">
      <c r="A8" s="1" t="s">
        <v>49</v>
      </c>
      <c r="B8" s="6" t="s">
        <v>21</v>
      </c>
      <c r="C8" s="4">
        <v>890000</v>
      </c>
      <c r="D8" s="3" t="s">
        <v>42</v>
      </c>
      <c r="E8" s="59">
        <v>46057</v>
      </c>
      <c r="F8" s="1" t="s">
        <v>23</v>
      </c>
      <c r="G8" s="59">
        <f>IF(ServiceTable[[#This Row],[ActiveStatus]]="No", "inactive", EDATE(ServiceTable[[#This Row],[LastPaid]], IF(ServiceTable[[#This Row],[Billing]]="Monthly", 1, IF(ServiceTable[[#This Row],[Billing]]="Quarterly", 3, 12))))</f>
        <v>46146</v>
      </c>
      <c r="H8" s="13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Act now - Invoice due</v>
      </c>
      <c r="I8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113 days overdue</v>
      </c>
      <c r="J8" s="9">
        <f ca="1">INT(IF(ServiceTable[[#This Row],[ActiveStatus]] = "No", -1000, ServiceTable[[#This Row],[NextRenewal]] - TODAY()))</f>
        <v>-113</v>
      </c>
      <c r="K8" s="9">
        <v>2</v>
      </c>
      <c r="L8" s="61"/>
    </row>
  </sheetData>
  <conditionalFormatting sqref="I2:I8">
    <cfRule type="expression" dxfId="73" priority="1">
      <formula>AND(J2 &gt;= 0, J2 &lt;= 3)</formula>
    </cfRule>
    <cfRule type="expression" dxfId="72" priority="2">
      <formula>J2 &lt; 0</formula>
    </cfRule>
  </conditionalFormatting>
  <dataValidations count="1">
    <dataValidation type="list" allowBlank="1" showInputMessage="1" showErrorMessage="1" sqref="F2:F8" xr:uid="{0829650D-3767-426C-8D7C-2A472107095C}">
      <formula1>"Yes,No"</formula1>
    </dataValidation>
  </dataValidations>
  <hyperlinks>
    <hyperlink ref="O2" r:id="rId1" xr:uid="{2BFB5B7D-E6AE-4E1F-A47E-77EA479FB0D8}"/>
    <hyperlink ref="O3" r:id="rId2" xr:uid="{24080605-81D1-4CD6-90C2-9A086A0F7CBC}"/>
    <hyperlink ref="O4" r:id="rId3" xr:uid="{09D8DBF7-D19D-4A59-B24E-3DD879CA1198}"/>
    <hyperlink ref="O5" r:id="rId4" xr:uid="{DFE1A164-D5B3-4A37-AB22-A1E43C4AA6EE}"/>
    <hyperlink ref="O6" r:id="rId5" xr:uid="{C22C088D-E549-4282-9D8E-081AB1284915}"/>
    <hyperlink ref="Q4" r:id="rId6" xr:uid="{652DDEDA-7105-4B25-A22C-874684B2153A}"/>
    <hyperlink ref="Q2" r:id="rId7" xr:uid="{AEEBCBB7-470F-49F2-94EB-937510D06F90}"/>
    <hyperlink ref="P2" r:id="rId8" xr:uid="{639639A8-DB92-419B-A0DA-E75C3B4E4783}"/>
    <hyperlink ref="P3" r:id="rId9" xr:uid="{379CC7D7-32F8-48FF-BB03-D67EF56D2532}"/>
    <hyperlink ref="P4" r:id="rId10" xr:uid="{1B190A27-1D5F-44AD-BF0B-574C8E00A345}"/>
    <hyperlink ref="P5" r:id="rId11" xr:uid="{48753FA0-1302-4192-9970-87445FCE57A8}"/>
    <hyperlink ref="P6" r:id="rId12" xr:uid="{02AFD0DC-E867-4C98-95A5-E70FBD145E87}"/>
  </hyperlinks>
  <pageMargins left="0.7" right="0.7" top="0.75" bottom="0.75" header="0.3" footer="0.3"/>
  <pageSetup orientation="portrait"/>
  <drawing r:id="rId13"/>
  <tableParts count="2"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DBF1-18D1-4EC5-8B39-C7777102D902}">
  <dimension ref="A1:Q8"/>
  <sheetViews>
    <sheetView workbookViewId="0">
      <selection sqref="A1:XFD1048576"/>
    </sheetView>
  </sheetViews>
  <sheetFormatPr defaultRowHeight="16.5"/>
  <cols>
    <col min="1" max="1" width="8.375" customWidth="1"/>
    <col min="2" max="2" width="11.875" customWidth="1"/>
    <col min="3" max="3" width="10.125" customWidth="1"/>
    <col min="4" max="4" width="7.875" customWidth="1"/>
    <col min="5" max="5" width="10.625" customWidth="1"/>
    <col min="6" max="6" width="6" customWidth="1"/>
    <col min="7" max="7" width="7.625" customWidth="1"/>
    <col min="8" max="8" width="10.5" customWidth="1"/>
    <col min="9" max="9" width="9.25" customWidth="1"/>
    <col min="10" max="10" width="6.625" customWidth="1"/>
    <col min="11" max="11" width="8.5" customWidth="1"/>
    <col min="12" max="12" width="9.25" customWidth="1"/>
    <col min="13" max="13" width="15.25" customWidth="1"/>
    <col min="14" max="14" width="13.125" customWidth="1"/>
    <col min="15" max="15" width="11.375" customWidth="1"/>
    <col min="17" max="17" width="15.75" customWidth="1"/>
  </cols>
  <sheetData>
    <row r="1" spans="1:17" ht="46.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12</v>
      </c>
      <c r="L1" s="39" t="s">
        <v>13</v>
      </c>
      <c r="M1" s="39" t="s">
        <v>14</v>
      </c>
      <c r="N1" s="39" t="s">
        <v>15</v>
      </c>
      <c r="O1" s="39" t="s">
        <v>16</v>
      </c>
      <c r="P1" s="39" t="s">
        <v>10</v>
      </c>
      <c r="Q1" s="39" t="s">
        <v>11</v>
      </c>
    </row>
    <row r="2" spans="1:17" ht="46.5">
      <c r="A2" s="1" t="s">
        <v>20</v>
      </c>
      <c r="B2" s="6" t="s">
        <v>21</v>
      </c>
      <c r="C2" s="4">
        <v>1700378</v>
      </c>
      <c r="D2" s="3" t="s">
        <v>22</v>
      </c>
      <c r="E2" s="5">
        <v>45887</v>
      </c>
      <c r="F2" s="1" t="s">
        <v>23</v>
      </c>
      <c r="G2" s="5">
        <f>IF(DataTable[[#This Row],[ActiveStatus]]="No", "inactive", EDATE(DataTable[[#This Row],[LastPaid]], IF(DataTable[[#This Row],[Billing]]="Monthly", 1, IF(DataTable[[#This Row],[Billing]]="Quarterly", 3, 12))))</f>
        <v>46252</v>
      </c>
      <c r="H2" s="6" t="str">
        <f ca="1">IF(DataTable[[#This Row],[ActiveStatus]] = "No", "Inactive", IF(DataTable[[#This Row],[NextRenewal]] - TODAY() &lt;= 3, "Act now - Invoice due", IF(DataTable[[#This Row],[NextRenewal]] - TODAY() &lt;= 7, "Invoice is fast approaching", "No action needed")))</f>
        <v>Act now - Invoice due</v>
      </c>
      <c r="I2" s="3" t="str">
        <f ca="1">IF(DataTable[[#This Row],[ActiveStatus]]  = "No", "Bill canceled", IF((DataTable[[#This Row],[NextRenewal]] - TODAY()) &lt; 0, ABS(DataTable[[#This Row],[NextRenewal]] - TODAY()) &amp; IF(ABS(DataTable[[#This Row],[NextRenewal]] - TODAY()) = 1, " day", " days") &amp; " overdue", DataTable[[#This Row],[NextRenewal]] - TODAY() &amp; IF(DataTable[[#This Row],[NextRenewal]] - TODAY() = 1, " day", " days") &amp; " left"))</f>
        <v>7 days overdue</v>
      </c>
      <c r="J2" s="9">
        <f ca="1">INT(IF(DataTable[[#This Row],[ActiveStatus]] = "No", -1000, DataTable[[#This Row],[NextRenewal]] - TODAY()))</f>
        <v>-7</v>
      </c>
      <c r="K2" s="8" t="s">
        <v>24</v>
      </c>
      <c r="L2" s="7" t="s">
        <v>25</v>
      </c>
      <c r="M2" s="6" t="s">
        <v>26</v>
      </c>
      <c r="N2" s="6" t="s">
        <v>27</v>
      </c>
      <c r="O2" s="6"/>
      <c r="P2" s="3">
        <v>2</v>
      </c>
      <c r="Q2" s="12">
        <v>100000</v>
      </c>
    </row>
    <row r="3" spans="1:17" ht="46.5">
      <c r="A3" s="1" t="s">
        <v>28</v>
      </c>
      <c r="B3" s="6" t="s">
        <v>29</v>
      </c>
      <c r="C3" s="4">
        <v>128500</v>
      </c>
      <c r="D3" s="3" t="s">
        <v>30</v>
      </c>
      <c r="E3" s="5">
        <v>46188</v>
      </c>
      <c r="F3" s="1" t="s">
        <v>31</v>
      </c>
      <c r="G3" s="5" t="str">
        <f>IF(DataTable[[#This Row],[ActiveStatus]]="No", "inactive", EDATE(DataTable[[#This Row],[LastPaid]], IF(DataTable[[#This Row],[Billing]]="Monthly", 1, IF(DataTable[[#This Row],[Billing]]="Quarterly", 3, 12))))</f>
        <v>inactive</v>
      </c>
      <c r="H3" s="6" t="str">
        <f ca="1">IF(DataTable[[#This Row],[ActiveStatus]] = "No", "Inactive", IF(DataTable[[#This Row],[NextRenewal]] - TODAY() &lt;= 3, "Act now - Invoice due", IF(DataTable[[#This Row],[NextRenewal]] - TODAY() &lt;= 7, "Invoice is fast approaching", "No action needed")))</f>
        <v>Inactive</v>
      </c>
      <c r="I3" s="3" t="str">
        <f ca="1">IF(DataTable[[#This Row],[ActiveStatus]]  = "No", "Bill canceled", IF((DataTable[[#This Row],[NextRenewal]] - TODAY()) &lt; 0, ABS(DataTable[[#This Row],[NextRenewal]] - TODAY()) &amp; IF(ABS(DataTable[[#This Row],[NextRenewal]] - TODAY()) = 1, " day", " days") &amp; " overdue", DataTable[[#This Row],[NextRenewal]] - TODAY() &amp; IF(DataTable[[#This Row],[NextRenewal]] - TODAY() = 1, " day", " days") &amp; " left"))</f>
        <v>Bill canceled</v>
      </c>
      <c r="J3" s="9">
        <f ca="1">INT(IF(DataTable[[#This Row],[ActiveStatus]] = "No", -1000, DataTable[[#This Row],[NextRenewal]] - TODAY()))</f>
        <v>-1000</v>
      </c>
      <c r="K3" s="8" t="s">
        <v>32</v>
      </c>
      <c r="L3" s="2" t="s">
        <v>33</v>
      </c>
      <c r="M3" s="13" t="s">
        <v>34</v>
      </c>
      <c r="N3" s="6" t="s">
        <v>35</v>
      </c>
      <c r="O3" s="6" t="s">
        <v>36</v>
      </c>
      <c r="P3" s="3">
        <v>1</v>
      </c>
      <c r="Q3" s="3"/>
    </row>
    <row r="4" spans="1:17" ht="46.5">
      <c r="A4" s="1" t="s">
        <v>20</v>
      </c>
      <c r="B4" s="6" t="s">
        <v>37</v>
      </c>
      <c r="C4" s="4">
        <v>50000</v>
      </c>
      <c r="D4" s="3" t="s">
        <v>30</v>
      </c>
      <c r="E4" s="5">
        <v>46220</v>
      </c>
      <c r="F4" s="1" t="s">
        <v>23</v>
      </c>
      <c r="G4" s="5">
        <f>IF(DataTable[[#This Row],[ActiveStatus]]="No", "inactive", EDATE(DataTable[[#This Row],[LastPaid]], IF(DataTable[[#This Row],[Billing]]="Monthly", 1, IF(DataTable[[#This Row],[Billing]]="Quarterly", 3, 12))))</f>
        <v>46251</v>
      </c>
      <c r="H4" s="6" t="str">
        <f ca="1">IF(DataTable[[#This Row],[ActiveStatus]] = "No", "Inactive", IF(DataTable[[#This Row],[NextRenewal]] - TODAY() &lt;= 3, "Act now - Invoice due", IF(DataTable[[#This Row],[NextRenewal]] - TODAY() &lt;= 7, "Invoice is fast approaching", "No action needed")))</f>
        <v>Act now - Invoice due</v>
      </c>
      <c r="I4" s="3" t="str">
        <f ca="1">IF(DataTable[[#This Row],[ActiveStatus]]  = "No", "Bill canceled", IF((DataTable[[#This Row],[NextRenewal]] - TODAY()) &lt; 0, ABS(DataTable[[#This Row],[NextRenewal]] - TODAY()) &amp; IF(ABS(DataTable[[#This Row],[NextRenewal]] - TODAY()) = 1, " day", " days") &amp; " overdue", DataTable[[#This Row],[NextRenewal]] - TODAY() &amp; IF(DataTable[[#This Row],[NextRenewal]] - TODAY() = 1, " day", " days") &amp; " left"))</f>
        <v>8 days overdue</v>
      </c>
      <c r="J4" s="9">
        <f ca="1">INT(IF(DataTable[[#This Row],[ActiveStatus]] = "No", -1000, DataTable[[#This Row],[NextRenewal]] - TODAY()))</f>
        <v>-8</v>
      </c>
      <c r="K4" s="8" t="s">
        <v>24</v>
      </c>
      <c r="L4" s="7" t="s">
        <v>25</v>
      </c>
      <c r="M4" s="6" t="s">
        <v>26</v>
      </c>
      <c r="N4" s="6" t="s">
        <v>27</v>
      </c>
      <c r="O4" s="6"/>
      <c r="P4" s="3">
        <v>3</v>
      </c>
      <c r="Q4" s="3"/>
    </row>
    <row r="5" spans="1:17" ht="46.5">
      <c r="A5" s="1" t="s">
        <v>40</v>
      </c>
      <c r="B5" s="6" t="s">
        <v>41</v>
      </c>
      <c r="C5" s="4">
        <v>2000000</v>
      </c>
      <c r="D5" s="3" t="s">
        <v>42</v>
      </c>
      <c r="E5" s="5">
        <v>46254</v>
      </c>
      <c r="F5" s="1" t="s">
        <v>23</v>
      </c>
      <c r="G5" s="5">
        <f>IF(DataTable[[#This Row],[ActiveStatus]]="No", "inactive", EDATE(DataTable[[#This Row],[LastPaid]], IF(DataTable[[#This Row],[Billing]]="Monthly", 1, IF(DataTable[[#This Row],[Billing]]="Quarterly", 3, 12))))</f>
        <v>46346</v>
      </c>
      <c r="H5" s="6" t="str">
        <f ca="1">IF(DataTable[[#This Row],[ActiveStatus]] = "No", "Inactive", IF(DataTable[[#This Row],[NextRenewal]] - TODAY() &lt;= 3, "Act now - Invoice due", IF(DataTable[[#This Row],[NextRenewal]] - TODAY() &lt;= 7, "Invoice is fast approaching", "No action needed")))</f>
        <v>No action needed</v>
      </c>
      <c r="I5" s="3" t="str">
        <f ca="1">IF(DataTable[[#This Row],[ActiveStatus]]  = "No", "Bill canceled", IF((DataTable[[#This Row],[NextRenewal]] - TODAY()) &lt; 0, ABS(DataTable[[#This Row],[NextRenewal]] - TODAY()) &amp; IF(ABS(DataTable[[#This Row],[NextRenewal]] - TODAY()) = 1, " day", " days") &amp; " overdue", DataTable[[#This Row],[NextRenewal]] - TODAY() &amp; IF(DataTable[[#This Row],[NextRenewal]] - TODAY() = 1, " day", " days") &amp; " left"))</f>
        <v>87 days left</v>
      </c>
      <c r="J5" s="9">
        <f ca="1">INT(IF(DataTable[[#This Row],[ActiveStatus]] = "No", -1000, DataTable[[#This Row],[NextRenewal]] - TODAY()))</f>
        <v>87</v>
      </c>
      <c r="K5" s="8" t="s">
        <v>25</v>
      </c>
      <c r="L5" s="2" t="s">
        <v>33</v>
      </c>
      <c r="M5" s="6" t="s">
        <v>43</v>
      </c>
      <c r="N5" s="6" t="s">
        <v>44</v>
      </c>
      <c r="O5" s="6" t="s">
        <v>45</v>
      </c>
      <c r="P5" s="3">
        <v>1</v>
      </c>
      <c r="Q5" s="3">
        <v>54000</v>
      </c>
    </row>
    <row r="6" spans="1:17" ht="46.5">
      <c r="A6" s="1" t="s">
        <v>46</v>
      </c>
      <c r="B6" s="6" t="s">
        <v>21</v>
      </c>
      <c r="C6" s="4">
        <v>2555000</v>
      </c>
      <c r="D6" s="3" t="s">
        <v>22</v>
      </c>
      <c r="E6" s="11">
        <v>45886</v>
      </c>
      <c r="F6" s="1" t="s">
        <v>23</v>
      </c>
      <c r="G6" s="5">
        <f>IF(DataTable[[#This Row],[ActiveStatus]]="No", "inactive", EDATE(DataTable[[#This Row],[LastPaid]], IF(DataTable[[#This Row],[Billing]]="Monthly", 1, IF(DataTable[[#This Row],[Billing]]="Quarterly", 3, 12))))</f>
        <v>46251</v>
      </c>
      <c r="H6" s="6" t="str">
        <f ca="1">IF(DataTable[[#This Row],[ActiveStatus]] = "No", "Inactive", IF(DataTable[[#This Row],[NextRenewal]] - TODAY() &lt;= 3, "Act now - Invoice due", IF(DataTable[[#This Row],[NextRenewal]] - TODAY() &lt;= 7, "Invoice is fast approaching", "No action needed")))</f>
        <v>Act now - Invoice due</v>
      </c>
      <c r="I6" s="3" t="str">
        <f ca="1">IF(DataTable[[#This Row],[ActiveStatus]]  = "No", "Bill canceled", IF((DataTable[[#This Row],[NextRenewal]] - TODAY()) &lt; 0, ABS(DataTable[[#This Row],[NextRenewal]] - TODAY()) &amp; IF(ABS(DataTable[[#This Row],[NextRenewal]] - TODAY()) = 1, " day", " days") &amp; " overdue", DataTable[[#This Row],[NextRenewal]] - TODAY() &amp; IF(DataTable[[#This Row],[NextRenewal]] - TODAY() = 1, " day", " days") &amp; " left"))</f>
        <v>8 days overdue</v>
      </c>
      <c r="J6" s="9">
        <f ca="1">INT(IF(DataTable[[#This Row],[ActiveStatus]] = "No", -1000, DataTable[[#This Row],[NextRenewal]] - TODAY()))</f>
        <v>-8</v>
      </c>
      <c r="K6" s="8" t="s">
        <v>32</v>
      </c>
      <c r="L6" s="2" t="s">
        <v>33</v>
      </c>
      <c r="M6" s="6" t="s">
        <v>47</v>
      </c>
      <c r="N6" s="6" t="s">
        <v>48</v>
      </c>
      <c r="O6" s="6" t="s">
        <v>36</v>
      </c>
      <c r="P6" s="3">
        <v>1</v>
      </c>
      <c r="Q6" s="3"/>
    </row>
    <row r="7" spans="1:17" ht="15.75"/>
    <row r="8" spans="1:17" ht="18.75">
      <c r="H8" s="10"/>
    </row>
  </sheetData>
  <conditionalFormatting sqref="I2:I6">
    <cfRule type="expression" dxfId="35" priority="2">
      <formula>AND(J2 &gt;= 0, J2 &lt;= 3)</formula>
    </cfRule>
    <cfRule type="expression" dxfId="34" priority="3">
      <formula>J2 &lt; 0</formula>
    </cfRule>
  </conditionalFormatting>
  <dataValidations disablePrompts="1" count="1">
    <dataValidation type="list" allowBlank="1" showInputMessage="1" showErrorMessage="1" sqref="F2:F6" xr:uid="{04B69E08-39EE-4C20-8933-68E9F9403B09}">
      <formula1>"Yes,No"</formula1>
    </dataValidation>
  </dataValidations>
  <hyperlinks>
    <hyperlink ref="K2" r:id="rId1" xr:uid="{8B59598E-1B8E-4A9B-8E54-2CAB83B3A53D}"/>
    <hyperlink ref="K3" r:id="rId2" xr:uid="{57C4F60C-9A8D-41B6-BC51-A68DC0F3B040}"/>
    <hyperlink ref="K4" r:id="rId3" xr:uid="{C58032F1-C807-4B5A-A63E-E947F678AE10}"/>
    <hyperlink ref="K5" r:id="rId4" xr:uid="{EC613667-5B50-47CA-8E0F-C18BFA5936A4}"/>
    <hyperlink ref="K6" r:id="rId5" xr:uid="{BFA424DF-EB10-46D3-A977-084189059FBE}"/>
    <hyperlink ref="L4" r:id="rId6" xr:uid="{7C1405F9-098D-4670-A1F4-DEB364E599DC}"/>
    <hyperlink ref="L2" r:id="rId7" xr:uid="{013CCAB4-AD5F-4BBA-94F8-C35E7308B652}"/>
  </hyperlinks>
  <pageMargins left="0.7" right="0.7" top="0.75" bottom="0.75" header="0.3" footer="0.3"/>
  <pageSetup orientation="portrait" r:id="rId8"/>
  <drawing r:id="rId9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F1A-7179-4408-AA30-1AEDEBE3DF45}">
  <dimension ref="A2:H29"/>
  <sheetViews>
    <sheetView showGridLines="0" workbookViewId="0">
      <selection activeCell="A11" sqref="A11"/>
    </sheetView>
  </sheetViews>
  <sheetFormatPr defaultColWidth="8" defaultRowHeight="15.75"/>
  <cols>
    <col min="1" max="1" width="24.75" customWidth="1"/>
    <col min="2" max="2" width="9.375" customWidth="1"/>
    <col min="3" max="3" width="12.375" customWidth="1"/>
    <col min="4" max="4" width="23.625" customWidth="1"/>
    <col min="5" max="5" width="6.25" customWidth="1"/>
    <col min="6" max="6" width="10.625" hidden="1" customWidth="1"/>
    <col min="7" max="7" width="10.875" hidden="1" customWidth="1"/>
    <col min="8" max="8" width="11.5" hidden="1" customWidth="1"/>
    <col min="9" max="9" width="8" bestFit="1" customWidth="1"/>
  </cols>
  <sheetData>
    <row r="2" spans="1:8" ht="48" customHeight="1">
      <c r="A2" s="14"/>
      <c r="B2" s="15"/>
      <c r="C2" s="71" t="s">
        <v>50</v>
      </c>
      <c r="D2" s="71"/>
      <c r="E2" s="16"/>
    </row>
    <row r="3" spans="1:8">
      <c r="A3" s="17" t="s">
        <v>51</v>
      </c>
      <c r="B3" s="66"/>
      <c r="C3" s="66"/>
      <c r="D3" s="18"/>
      <c r="E3" s="19"/>
    </row>
    <row r="4" spans="1:8">
      <c r="A4" s="17" t="s">
        <v>52</v>
      </c>
      <c r="B4" s="66"/>
      <c r="C4" s="66"/>
      <c r="D4" s="18"/>
      <c r="E4" s="19"/>
    </row>
    <row r="5" spans="1:8">
      <c r="A5" s="17" t="s">
        <v>53</v>
      </c>
      <c r="B5" s="18"/>
      <c r="C5" s="18"/>
      <c r="D5" s="18"/>
      <c r="E5" s="19"/>
    </row>
    <row r="6" spans="1:8">
      <c r="A6" s="20"/>
      <c r="B6" s="18"/>
      <c r="C6" s="18"/>
      <c r="D6" s="21"/>
      <c r="E6" s="19"/>
    </row>
    <row r="7" spans="1:8">
      <c r="A7" s="22" t="s">
        <v>54</v>
      </c>
      <c r="B7" s="36" t="s">
        <v>17</v>
      </c>
      <c r="C7" s="36" t="s">
        <v>55</v>
      </c>
      <c r="D7" s="23" t="s">
        <v>56</v>
      </c>
      <c r="E7" s="38" t="s">
        <v>57</v>
      </c>
      <c r="F7" s="24" t="s">
        <v>14</v>
      </c>
      <c r="G7" s="24" t="s">
        <v>15</v>
      </c>
      <c r="H7" s="24" t="s">
        <v>16</v>
      </c>
    </row>
    <row r="8" spans="1:8">
      <c r="A8" s="41" t="s">
        <v>46</v>
      </c>
      <c r="B8" s="42">
        <v>1072</v>
      </c>
      <c r="C8" s="43" t="s">
        <v>58</v>
      </c>
      <c r="D8" s="44">
        <f ca="1">TODAY()</f>
        <v>46259</v>
      </c>
      <c r="E8" s="25">
        <v>1</v>
      </c>
      <c r="F8" t="s">
        <v>47</v>
      </c>
      <c r="G8" t="s">
        <v>48</v>
      </c>
      <c r="H8" t="s">
        <v>36</v>
      </c>
    </row>
    <row r="9" spans="1:8">
      <c r="A9" s="40"/>
      <c r="B9" s="72"/>
      <c r="C9" s="72"/>
      <c r="D9" s="18"/>
      <c r="E9" s="19"/>
    </row>
    <row r="10" spans="1:8">
      <c r="A10" s="40"/>
      <c r="B10" s="18"/>
      <c r="C10" s="23"/>
      <c r="D10" s="23" t="s">
        <v>59</v>
      </c>
      <c r="E10" s="26"/>
    </row>
    <row r="11" spans="1:8">
      <c r="A11" s="40"/>
      <c r="B11" s="18"/>
      <c r="C11" s="73" t="s">
        <v>60</v>
      </c>
      <c r="D11" s="73"/>
      <c r="E11" s="19"/>
    </row>
    <row r="12" spans="1:8">
      <c r="A12" s="45"/>
      <c r="B12" s="18"/>
      <c r="C12" s="73" t="s">
        <v>61</v>
      </c>
      <c r="D12" s="73"/>
      <c r="E12" s="19"/>
    </row>
    <row r="13" spans="1:8">
      <c r="A13" s="46"/>
      <c r="B13" s="66"/>
      <c r="C13" s="66"/>
      <c r="D13" s="18"/>
      <c r="E13" s="19"/>
    </row>
    <row r="14" spans="1:8">
      <c r="A14" s="22" t="s">
        <v>62</v>
      </c>
      <c r="B14" s="23" t="s">
        <v>10</v>
      </c>
      <c r="C14" s="23" t="s">
        <v>63</v>
      </c>
      <c r="D14" s="23" t="s">
        <v>64</v>
      </c>
      <c r="E14" s="37" t="s">
        <v>65</v>
      </c>
    </row>
    <row r="15" spans="1:8">
      <c r="A15" s="40" t="s">
        <v>21</v>
      </c>
      <c r="B15" s="47">
        <v>1</v>
      </c>
      <c r="C15" s="49">
        <v>2555000</v>
      </c>
      <c r="D15" s="49"/>
      <c r="E15" s="28">
        <v>1</v>
      </c>
    </row>
    <row r="16" spans="1:8">
      <c r="A16" s="40" t="s">
        <v>37</v>
      </c>
      <c r="B16" s="47">
        <v>3</v>
      </c>
      <c r="C16" s="49">
        <v>50000</v>
      </c>
      <c r="D16" s="49"/>
      <c r="E16" s="28">
        <v>2</v>
      </c>
    </row>
    <row r="17" spans="1:5">
      <c r="A17" s="40"/>
      <c r="B17" s="48"/>
      <c r="C17" s="49"/>
      <c r="D17" s="49"/>
      <c r="E17" s="28">
        <v>3</v>
      </c>
    </row>
    <row r="18" spans="1:5">
      <c r="A18" s="46"/>
      <c r="B18" s="48"/>
      <c r="C18" s="49"/>
      <c r="D18" s="49"/>
      <c r="E18" s="28">
        <v>4</v>
      </c>
    </row>
    <row r="19" spans="1:5">
      <c r="A19" s="46"/>
      <c r="B19" s="48"/>
      <c r="C19" s="50"/>
      <c r="D19" s="49"/>
      <c r="E19" s="28">
        <v>5</v>
      </c>
    </row>
    <row r="20" spans="1:5">
      <c r="A20" s="46"/>
      <c r="B20" s="48"/>
      <c r="C20" s="50"/>
      <c r="D20" s="49"/>
      <c r="E20" s="28">
        <v>6</v>
      </c>
    </row>
    <row r="21" spans="1:5">
      <c r="A21" s="29" t="s">
        <v>66</v>
      </c>
      <c r="B21" s="27" t="s">
        <v>67</v>
      </c>
      <c r="C21" s="27"/>
      <c r="D21" s="49"/>
      <c r="E21" s="19"/>
    </row>
    <row r="22" spans="1:5">
      <c r="A22" s="20"/>
      <c r="B22" s="27" t="s">
        <v>68</v>
      </c>
      <c r="C22" s="27"/>
      <c r="D22" s="30">
        <v>7.0000000000000007E-2</v>
      </c>
      <c r="E22" s="19"/>
    </row>
    <row r="23" spans="1:5">
      <c r="A23" s="20"/>
      <c r="B23" s="27" t="s">
        <v>69</v>
      </c>
      <c r="C23" s="27"/>
      <c r="D23" s="49" t="str">
        <f>IF(D21="", "", D21 * D22)</f>
        <v/>
      </c>
      <c r="E23" s="19"/>
    </row>
    <row r="24" spans="1:5" ht="24">
      <c r="A24" s="20"/>
      <c r="B24" s="31" t="s">
        <v>70</v>
      </c>
      <c r="C24" s="31"/>
      <c r="D24" s="51" t="str">
        <f>IF(D21 = "", "", D21+D23)</f>
        <v/>
      </c>
      <c r="E24" s="32"/>
    </row>
    <row r="25" spans="1:5">
      <c r="A25" s="20"/>
      <c r="B25" s="18"/>
      <c r="C25" s="18"/>
      <c r="D25" s="18"/>
      <c r="E25" s="19"/>
    </row>
    <row r="26" spans="1:5">
      <c r="A26" s="20"/>
      <c r="B26" s="18"/>
      <c r="C26" s="18"/>
      <c r="D26" s="18"/>
      <c r="E26" s="19"/>
    </row>
    <row r="27" spans="1:5">
      <c r="A27" s="67" t="s">
        <v>71</v>
      </c>
      <c r="B27" s="68"/>
      <c r="C27" s="68"/>
      <c r="D27" s="68"/>
      <c r="E27" s="19"/>
    </row>
    <row r="28" spans="1:5">
      <c r="A28" s="69" t="s">
        <v>72</v>
      </c>
      <c r="B28" s="70"/>
      <c r="C28" s="70"/>
      <c r="D28" s="70"/>
      <c r="E28" s="19"/>
    </row>
    <row r="29" spans="1:5">
      <c r="A29" s="33"/>
      <c r="B29" s="34"/>
      <c r="C29" s="34"/>
      <c r="D29" s="34"/>
      <c r="E29" s="35"/>
    </row>
  </sheetData>
  <sheetProtection formatCells="0" insertRows="0" autoFilter="0"/>
  <protectedRanges>
    <protectedRange sqref="A15:C20" name="UserInput"/>
  </protectedRanges>
  <mergeCells count="9">
    <mergeCell ref="B13:C13"/>
    <mergeCell ref="A27:D27"/>
    <mergeCell ref="A28:D28"/>
    <mergeCell ref="C2:D2"/>
    <mergeCell ref="B3:C3"/>
    <mergeCell ref="B4:C4"/>
    <mergeCell ref="B9:C9"/>
    <mergeCell ref="C11:D11"/>
    <mergeCell ref="C12:D12"/>
  </mergeCells>
  <pageMargins left="0.7" right="0.7" top="0.75" bottom="0.75" header="0.3" footer="0.3"/>
  <drawing r:id="rId1"/>
  <legacy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5442-410F-4C65-8987-8C86A57C94DC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Mbibi</dc:creator>
  <cp:keywords/>
  <dc:description/>
  <cp:lastModifiedBy/>
  <cp:revision/>
  <dcterms:created xsi:type="dcterms:W3CDTF">2026-07-01T12:01:43Z</dcterms:created>
  <dcterms:modified xsi:type="dcterms:W3CDTF">2026-08-25T13:30:20Z</dcterms:modified>
  <cp:category/>
  <cp:contentStatus/>
</cp:coreProperties>
</file>